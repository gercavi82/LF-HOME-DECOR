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Users\Zona5\Downloads\"/>
    </mc:Choice>
  </mc:AlternateContent>
  <bookViews>
    <workbookView xWindow="0" yWindow="0" windowWidth="19200" windowHeight="10695" activeTab="1"/>
  </bookViews>
  <sheets>
    <sheet name="Detalle Ventas" sheetId="1" r:id="rId1"/>
    <sheet name="CUADRE MANUAL" sheetId="3" r:id="rId2"/>
    <sheet name="INVENTARIO SISTEMA" sheetId="4" r:id="rId3"/>
    <sheet name="Resumen Financiero" sheetId="2" r:id="rId4"/>
  </sheets>
  <definedNames>
    <definedName name="_xlnm._FilterDatabase" localSheetId="1" hidden="1">'CUADRE MANUAL'!$A$1:$D$20</definedName>
    <definedName name="_xlnm._FilterDatabase" localSheetId="0" hidden="1">'Detalle Ventas'!$A$1:$O$126</definedName>
  </definedNames>
  <calcPr calcId="152511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</calcChain>
</file>

<file path=xl/comments1.xml><?xml version="1.0" encoding="utf-8"?>
<comments xmlns="http://schemas.openxmlformats.org/spreadsheetml/2006/main">
  <authors>
    <author>Zona5</author>
  </authors>
  <commentList>
    <comment ref="E20" authorId="0" shapeId="0">
      <text>
        <r>
          <rPr>
            <b/>
            <sz val="9"/>
            <color indexed="81"/>
            <rFont val="Tahoma"/>
            <family val="2"/>
          </rPr>
          <t>Zona5:</t>
        </r>
        <r>
          <rPr>
            <sz val="9"/>
            <color indexed="81"/>
            <rFont val="Tahoma"/>
            <family val="2"/>
          </rPr>
          <t xml:space="preserve">
No hay compra real
No registra venta
Falta 4</t>
        </r>
      </text>
    </comment>
  </commentList>
</comments>
</file>

<file path=xl/sharedStrings.xml><?xml version="1.0" encoding="utf-8"?>
<sst xmlns="http://schemas.openxmlformats.org/spreadsheetml/2006/main" count="1224" uniqueCount="384">
  <si>
    <t>ID</t>
  </si>
  <si>
    <t>Nº Venta</t>
  </si>
  <si>
    <t>Fecha</t>
  </si>
  <si>
    <t>Local</t>
  </si>
  <si>
    <t>Cliente</t>
  </si>
  <si>
    <t>Canal de Venta</t>
  </si>
  <si>
    <t>Vendedor / Asesor</t>
  </si>
  <si>
    <t>Productos</t>
  </si>
  <si>
    <t>Cant. Unidades</t>
  </si>
  <si>
    <t>Total Venta ($)</t>
  </si>
  <si>
    <t>Utilidad Bruta ($)</t>
  </si>
  <si>
    <t>Comisión Asesor (60%)</t>
  </si>
  <si>
    <t>Comisión Local (40%)</t>
  </si>
  <si>
    <t>Estado</t>
  </si>
  <si>
    <t>Observaciones</t>
  </si>
  <si>
    <t>V-20260909022615-D596FC</t>
  </si>
  <si>
    <t>Wed Sep 09 2026 21:26:15 GMT-0500 (Ecuador Time)</t>
  </si>
  <si>
    <t>Local Matriz</t>
  </si>
  <si>
    <t>Consumidor final</t>
  </si>
  <si>
    <t>Fernanda Oñate</t>
  </si>
  <si>
    <t>Sábanas Plus 2 Plazas (Full) (x2.00)</t>
  </si>
  <si>
    <t>REGISTRADA</t>
  </si>
  <si>
    <t/>
  </si>
  <si>
    <t>V-20260909022452-D02EF4</t>
  </si>
  <si>
    <t>Wed Sep 09 2026 21:24:52 GMT-0500 (Ecuador Time)</t>
  </si>
  <si>
    <t>Cobertor Económico 2 Plazas (Full) (x1.00)</t>
  </si>
  <si>
    <t>V-20260909022414-221D59</t>
  </si>
  <si>
    <t>Wed Sep 09 2026 21:24:14 GMT-0500 (Ecuador Time)</t>
  </si>
  <si>
    <t>Sábanas Plus 2 Plazas (Full) (x1.00)</t>
  </si>
  <si>
    <t>V-20260909022318-D8DF81</t>
  </si>
  <si>
    <t>Wed Sep 09 2026 21:23:18 GMT-0500 (Ecuador Time)</t>
  </si>
  <si>
    <t>Cobertor Económico Ovejero 2 Plazas (Full) (x1.00)</t>
  </si>
  <si>
    <t>V-20260908232925-483CCF</t>
  </si>
  <si>
    <t>Tue Sep 08 2026 18:29:25 GMT-0500 (Ecuador Time)</t>
  </si>
  <si>
    <t>Lizeth Quishpe</t>
  </si>
  <si>
    <t>Cobertor Plus Ovejero 2 1/2 Plazas (Queen) (x1.00)</t>
  </si>
  <si>
    <t>V-20260908232429-4AE24E</t>
  </si>
  <si>
    <t>Tue Sep 08 2026 18:24:29 GMT-0500 (Ecuador Time)</t>
  </si>
  <si>
    <t>Cobertor Económico Ovejero 2 Plazas (Full) (x2.00)</t>
  </si>
  <si>
    <t>V-20260907204228-05FA32</t>
  </si>
  <si>
    <t>Mon Sep 07 2026 15:42:28 GMT-0500 (Ecuador Time)</t>
  </si>
  <si>
    <t>Cobertor Económico Ovejero 2 Plazas (Full) (x4.00)</t>
  </si>
  <si>
    <t>V-20260907203305-093BBA</t>
  </si>
  <si>
    <t>Mon Sep 07 2026 15:33:05 GMT-0500 (Ecuador Time)</t>
  </si>
  <si>
    <t>Protector de Colchón 2 Plazas (Full) (x8.00)</t>
  </si>
  <si>
    <t>V-20260907202415-190D3E</t>
  </si>
  <si>
    <t>Mon Sep 07 2026 15:24:15 GMT-0500 (Ecuador Time)</t>
  </si>
  <si>
    <t>Protector de Colchón 3 Plazas (King) (x1.00)</t>
  </si>
  <si>
    <t>V-20260907202306-8B0A5F</t>
  </si>
  <si>
    <t>Mon Sep 07 2026 15:23:06 GMT-0500 (Ecuador Time)</t>
  </si>
  <si>
    <t>ANULADA</t>
  </si>
  <si>
    <t>[ANULADA el 7/9/2026, 4:49:33 p. m. por Fernanda Oñate]</t>
  </si>
  <si>
    <t>V-20260907201550-5CFF22</t>
  </si>
  <si>
    <t>Mon Sep 07 2026 15:15:50 GMT-0500 (Ecuador Time)</t>
  </si>
  <si>
    <t>Cobertor Plus 3 Plazas (King) (x1.00)</t>
  </si>
  <si>
    <t>V-20260907201427-EC3D9A</t>
  </si>
  <si>
    <t>Mon Sep 07 2026 15:14:27 GMT-0500 (Ecuador Time)</t>
  </si>
  <si>
    <t>Cobertor Especial 3 Plazas (King) (x1.00)</t>
  </si>
  <si>
    <t>V-20260907190149-B6D570</t>
  </si>
  <si>
    <t>Mon Sep 07 2026 14:01:49 GMT-0500 (Ecuador Time)</t>
  </si>
  <si>
    <t>Cobertor Plus 1 1/2 Plazas (Twin) (x1.00)</t>
  </si>
  <si>
    <t>V-20260907143319-BA2125</t>
  </si>
  <si>
    <t>Mon Sep 07 2026 09:33:19 GMT-0500 (Ecuador Time)</t>
  </si>
  <si>
    <t>V-20260906205459-0D9823</t>
  </si>
  <si>
    <t>Sun Sep 06 2026 15:54:59 GMT-0500 (Ecuador Time)</t>
  </si>
  <si>
    <t>Fundas de Almohada Estándar (x5.00)</t>
  </si>
  <si>
    <t>V-20260906205345-51543D</t>
  </si>
  <si>
    <t>Sun Sep 06 2026 15:53:45 GMT-0500 (Ecuador Time)</t>
  </si>
  <si>
    <t>Cobertor Plus 2 1/2 Plazas (Queen) (x1.00)</t>
  </si>
  <si>
    <t>V-20260906205250-FF2CDB</t>
  </si>
  <si>
    <t>Sun Sep 06 2026 15:52:50 GMT-0500 (Ecuador Time)</t>
  </si>
  <si>
    <t>V-20260904224548-F7897D</t>
  </si>
  <si>
    <t>Fri Sep 04 2026 17:45:48 GMT-0500 (Ecuador Time)</t>
  </si>
  <si>
    <t>Sábanas Económicas 2 Plazas (Full) (x3.00)</t>
  </si>
  <si>
    <t>V-20260904223146-F3C44F</t>
  </si>
  <si>
    <t>Fri Sep 04 2026 17:31:46 GMT-0500 (Ecuador Time)</t>
  </si>
  <si>
    <t>V-20260903235911-B65CF8</t>
  </si>
  <si>
    <t>Thu Sep 03 2026 18:59:11 GMT-0500 (Ecuador Time)</t>
  </si>
  <si>
    <t>V-20260903234145-CC4AAF</t>
  </si>
  <si>
    <t>Thu Sep 03 2026 18:41:45 GMT-0500 (Ecuador Time)</t>
  </si>
  <si>
    <t>V-20260903175128-6C9987</t>
  </si>
  <si>
    <t>Thu Sep 03 2026 12:51:28 GMT-0500 (Ecuador Time)</t>
  </si>
  <si>
    <t>V-20260902220945-0BE5E6</t>
  </si>
  <si>
    <t>Wed Sep 02 2026 17:09:45 GMT-0500 (Ecuador Time)</t>
  </si>
  <si>
    <t>Cobertor Plus 2 Plazas (Full) (x1.00)</t>
  </si>
  <si>
    <t>V-20260902170600-C8D19A</t>
  </si>
  <si>
    <t>Wed Sep 02 2026 12:06:00 GMT-0500 (Ecuador Time)</t>
  </si>
  <si>
    <t>V-20260902170337-B122FD</t>
  </si>
  <si>
    <t>Wed Sep 02 2026 12:03:37 GMT-0500 (Ecuador Time)</t>
  </si>
  <si>
    <t>V-20260902170311-1F49AB</t>
  </si>
  <si>
    <t>Wed Sep 02 2026 12:03:11 GMT-0500 (Ecuador Time)</t>
  </si>
  <si>
    <t>V-20260902154323-EF26FC</t>
  </si>
  <si>
    <t>Wed Sep 02 2026 10:43:23 GMT-0500 (Ecuador Time)</t>
  </si>
  <si>
    <t>V-20260831221303-A2ADD0</t>
  </si>
  <si>
    <t>Mon Aug 31 2026 17:13:03 GMT-0500 (Ecuador Time)</t>
  </si>
  <si>
    <t>Facebook</t>
  </si>
  <si>
    <t>Cobertor Económico Ovejero 2 Plazas (Full) (x15.00)</t>
  </si>
  <si>
    <t>V-20260831214457-E035A3</t>
  </si>
  <si>
    <t>Mon Aug 31 2026 16:44:57 GMT-0500 (Ecuador Time)</t>
  </si>
  <si>
    <t>Sábanas Económicas 2 Plazas (Full) (x1.00)</t>
  </si>
  <si>
    <t>V-20260831214346-F20075</t>
  </si>
  <si>
    <t>Mon Aug 31 2026 16:43:46 GMT-0500 (Ecuador Time)</t>
  </si>
  <si>
    <t>V-20260831214236-E69B7C</t>
  </si>
  <si>
    <t>Mon Aug 31 2026 16:42:36 GMT-0500 (Ecuador Time)</t>
  </si>
  <si>
    <t>V-20260901002109-4030A0</t>
  </si>
  <si>
    <t>Mon Aug 31 2026 14:21:09 GMT-0500 (Ecuador Time)</t>
  </si>
  <si>
    <t>V-20260830015538-EE84DF</t>
  </si>
  <si>
    <t>Wed Aug 26 2026 20:55:38 GMT-0500 (Ecuador Time)</t>
  </si>
  <si>
    <t>Venta por Asesor</t>
  </si>
  <si>
    <t>V-20260830025724-31EA77</t>
  </si>
  <si>
    <t>Tue Aug 25 2026 21:57:24 GMT-0500 (Ecuador Time)</t>
  </si>
  <si>
    <t>V-20260830025703-2A274F</t>
  </si>
  <si>
    <t>Tue Aug 25 2026 21:57:03 GMT-0500 (Ecuador Time)</t>
  </si>
  <si>
    <t>Cobertor Plus 2 Plazas (Full) (x3.00)</t>
  </si>
  <si>
    <t>V-20260830025635-863381</t>
  </si>
  <si>
    <t>Tue Aug 25 2026 21:56:35 GMT-0500 (Ecuador Time)</t>
  </si>
  <si>
    <t>Compra personal LQ</t>
  </si>
  <si>
    <t>V-20260830025550-9F19E3</t>
  </si>
  <si>
    <t>Tue Aug 25 2026 21:55:50 GMT-0500 (Ecuador Time)</t>
  </si>
  <si>
    <t>V-20260830025453-07DDF1</t>
  </si>
  <si>
    <t>Tue Aug 25 2026 21:54:53 GMT-0500 (Ecuador Time)</t>
  </si>
  <si>
    <t>V-20260830023534-4525BF</t>
  </si>
  <si>
    <t>Tue Aug 25 2026 21:35:34 GMT-0500 (Ecuador Time)</t>
  </si>
  <si>
    <t>TikTok</t>
  </si>
  <si>
    <t>Ventas Local Matriz</t>
  </si>
  <si>
    <t>Cobertor Económico Ovejero 2 Plazas (Full) (x3.00)</t>
  </si>
  <si>
    <t>Venta local promoción tik tok</t>
  </si>
  <si>
    <t>V-20260830015517-8ABC78</t>
  </si>
  <si>
    <t>Tue Aug 25 2026 20:55:17 GMT-0500 (Ecuador Time)</t>
  </si>
  <si>
    <t>Cobertor Especial 2 1/2 Plazas (Queen) (x1.00)</t>
  </si>
  <si>
    <t>V-20260830015445-A79E67</t>
  </si>
  <si>
    <t>Tue Aug 25 2026 20:54:45 GMT-0500 (Ecuador Time)</t>
  </si>
  <si>
    <t>V-20260830015427-C93957</t>
  </si>
  <si>
    <t>Mon Aug 24 2026 20:54:27 GMT-0500 (Ecuador Time)</t>
  </si>
  <si>
    <t>V-20260830015407-BF97E5</t>
  </si>
  <si>
    <t>Mon Aug 24 2026 20:54:07 GMT-0500 (Ecuador Time)</t>
  </si>
  <si>
    <t>Cobertor Plus 2 Plazas (Full) (x2.00)</t>
  </si>
  <si>
    <t>V-20260830025406-C2DE9D</t>
  </si>
  <si>
    <t>Sat Aug 22 2026 21:54:06 GMT-0500 (Ecuador Time)</t>
  </si>
  <si>
    <t>Sábanas Plus 2 1/2 Plazas (Queen) (x1.00)</t>
  </si>
  <si>
    <t>V-20260830025342-41F4D0</t>
  </si>
  <si>
    <t>Sat Aug 22 2026 21:53:42 GMT-0500 (Ecuador Time)</t>
  </si>
  <si>
    <t>V-20260830025321-8AACE0</t>
  </si>
  <si>
    <t>Sat Aug 22 2026 21:53:21 GMT-0500 (Ecuador Time)</t>
  </si>
  <si>
    <t>V-20260830025231-70782F</t>
  </si>
  <si>
    <t>Fri Aug 21 2026 21:52:31 GMT-0500 (Ecuador Time)</t>
  </si>
  <si>
    <t>V-20260830025206-1B0DBD</t>
  </si>
  <si>
    <t>Fri Aug 21 2026 21:52:06 GMT-0500 (Ecuador Time)</t>
  </si>
  <si>
    <t>V-20260830025137-2D321F</t>
  </si>
  <si>
    <t>Wed Aug 19 2026 21:51:37 GMT-0500 (Ecuador Time)</t>
  </si>
  <si>
    <t>V-20260830014044-729D27</t>
  </si>
  <si>
    <t>Wed Aug 19 2026 20:40:44 GMT-0500 (Ecuador Time)</t>
  </si>
  <si>
    <t>V-20260830014024-8C6D23</t>
  </si>
  <si>
    <t>Wed Aug 19 2026 20:40:24 GMT-0500 (Ecuador Time)</t>
  </si>
  <si>
    <t>V-20260830015346-4F6F8B</t>
  </si>
  <si>
    <t>Tue Aug 18 2026 20:53:46 GMT-0500 (Ecuador Time)</t>
  </si>
  <si>
    <t>V-20260830015327-D1EB54</t>
  </si>
  <si>
    <t>Tue Aug 18 2026 20:53:27 GMT-0500 (Ecuador Time)</t>
  </si>
  <si>
    <t>V-20260830015243-1B6BD4</t>
  </si>
  <si>
    <t>Tue Aug 18 2026 20:52:43 GMT-0500 (Ecuador Time)</t>
  </si>
  <si>
    <t>Protector de Colchón 2 Plazas (Full) (x1.00)</t>
  </si>
  <si>
    <t>V-20260830015042-2EFD84</t>
  </si>
  <si>
    <t>Mon Aug 17 2026 20:50:42 GMT-0500 (Ecuador Time)</t>
  </si>
  <si>
    <t>V-20260830014925-65D55D</t>
  </si>
  <si>
    <t>Mon Aug 17 2026 20:49:25 GMT-0500 (Ecuador Time)</t>
  </si>
  <si>
    <t>V-20260830015011-89538C</t>
  </si>
  <si>
    <t>Fri Aug 14 2026 20:50:11 GMT-0500 (Ecuador Time)</t>
  </si>
  <si>
    <t>V-20260830014949-A10DBE</t>
  </si>
  <si>
    <t>Fri Aug 14 2026 20:49:49 GMT-0500 (Ecuador Time)</t>
  </si>
  <si>
    <t>Cobertor Económico 2 Plazas (Full) (x4.00)</t>
  </si>
  <si>
    <t>V-20260830014904-33C762</t>
  </si>
  <si>
    <t>Fri Aug 14 2026 20:49:04 GMT-0500 (Ecuador Time)</t>
  </si>
  <si>
    <t>V-20260907190321-525EE7</t>
  </si>
  <si>
    <t>Thu Aug 13 2026 14:03:21 GMT-0500 (Ecuador Time)</t>
  </si>
  <si>
    <t>V-20260907190046-7A7DBC</t>
  </si>
  <si>
    <t>Thu Aug 13 2026 14:00:46 GMT-0500 (Ecuador Time)</t>
  </si>
  <si>
    <t>V-20260830025115-7096B6</t>
  </si>
  <si>
    <t>Wed Aug 12 2026 21:51:15 GMT-0500 (Ecuador Time)</t>
  </si>
  <si>
    <t>Cobertor Económico 2 Plazas (Full) (x2.00)</t>
  </si>
  <si>
    <t>V-20260830014846-D18C16</t>
  </si>
  <si>
    <t>Wed Aug 12 2026 20:48:46 GMT-0500 (Ecuador Time)</t>
  </si>
  <si>
    <t>Fundas de Almohada Estándar (x2.00)</t>
  </si>
  <si>
    <t>V-20260830014816-096C09</t>
  </si>
  <si>
    <t>Fri Aug 07 2026 20:48:16 GMT-0500 (Ecuador Time)</t>
  </si>
  <si>
    <t>V-20260830014756-C46C58</t>
  </si>
  <si>
    <t>Fri Aug 07 2026 20:47:56 GMT-0500 (Ecuador Time)</t>
  </si>
  <si>
    <t>V-20260830014732-6D33E4</t>
  </si>
  <si>
    <t>Fri Aug 07 2026 20:47:32 GMT-0500 (Ecuador Time)</t>
  </si>
  <si>
    <t>V-20260830025054-AA5A5F</t>
  </si>
  <si>
    <t>Wed Aug 05 2026 21:50:54 GMT-0500 (Ecuador Time)</t>
  </si>
  <si>
    <t>Sábanas Plus 2 Plazas (Full) (x4.00)</t>
  </si>
  <si>
    <t>V-20260830025038-D5A26C</t>
  </si>
  <si>
    <t>Wed Aug 05 2026 21:50:38 GMT-0500 (Ecuador Time)</t>
  </si>
  <si>
    <t>V-20260830014717-1C5912</t>
  </si>
  <si>
    <t>Tue Aug 04 2026 20:47:17 GMT-0500 (Ecuador Time)</t>
  </si>
  <si>
    <t>Protector de Colchón 2 Plazas (Full) (x5.00)</t>
  </si>
  <si>
    <t>V-20260830014643-9EB4FB</t>
  </si>
  <si>
    <t>Tue Aug 04 2026 20:46:43 GMT-0500 (Ecuador Time)</t>
  </si>
  <si>
    <t>V-20260830014605-D4CA66</t>
  </si>
  <si>
    <t>Tue Aug 04 2026 20:46:05 GMT-0500 (Ecuador Time)</t>
  </si>
  <si>
    <t>V-20260830014546-A1F594</t>
  </si>
  <si>
    <t>Mon Aug 03 2026 20:45:46 GMT-0500 (Ecuador Time)</t>
  </si>
  <si>
    <t>V-20260830014527-02C04C</t>
  </si>
  <si>
    <t>Mon Aug 03 2026 20:45:27 GMT-0500 (Ecuador Time)</t>
  </si>
  <si>
    <t>V-20260830014505-BA9607</t>
  </si>
  <si>
    <t>Mon Aug 03 2026 20:45:05 GMT-0500 (Ecuador Time)</t>
  </si>
  <si>
    <t>V-20260830014447-4051BE</t>
  </si>
  <si>
    <t>Tue Jul 21 2026 20:44:47 GMT-0500 (Ecuador Time)</t>
  </si>
  <si>
    <t>Sábanas Económicas 2 Plazas (Full) (x2.00)</t>
  </si>
  <si>
    <t>V-20260830014427-489BF6</t>
  </si>
  <si>
    <t>Mon Jul 20 2026 20:44:27 GMT-0500 (Ecuador Time)</t>
  </si>
  <si>
    <t>Cobertor Económico 2 Plazas (Full) (x65.00)</t>
  </si>
  <si>
    <t>V-20260830014348-E2740C</t>
  </si>
  <si>
    <t>Mon Jul 13 2026 20:43:48 GMT-0500 (Ecuador Time)</t>
  </si>
  <si>
    <t>V-20260830014307-C0BCE4</t>
  </si>
  <si>
    <t>Mon Jul 13 2026 20:43:07 GMT-0500 (Ecuador Time)</t>
  </si>
  <si>
    <t>V-20260830014242-D6D912</t>
  </si>
  <si>
    <t>Mon Jul 13 2026 20:42:42 GMT-0500 (Ecuador Time)</t>
  </si>
  <si>
    <t>V-20260830014218-FBAC85</t>
  </si>
  <si>
    <t>Wed Jul 08 2026 20:42:18 GMT-0500 (Ecuador Time)</t>
  </si>
  <si>
    <t>V-20260830024906-490E52</t>
  </si>
  <si>
    <t>Tue Jul 07 2026 21:49:06 GMT-0500 (Ecuador Time)</t>
  </si>
  <si>
    <t>Sábanas Plus 2 Plazas (Full) (x5.00)</t>
  </si>
  <si>
    <t>V-20260830024843-521A75</t>
  </si>
  <si>
    <t>Tue Jul 07 2026 21:48:43 GMT-0500 (Ecuador Time)</t>
  </si>
  <si>
    <t>V-20260830024815-8345C6</t>
  </si>
  <si>
    <t>Tue Jul 07 2026 21:48:15 GMT-0500 (Ecuador Time)</t>
  </si>
  <si>
    <t>V-20260830024756-E89CB0</t>
  </si>
  <si>
    <t>Tue Jul 07 2026 21:47:56 GMT-0500 (Ecuador Time)</t>
  </si>
  <si>
    <t>Cobertor Plus 2 Plazas (Full) (x8.00)</t>
  </si>
  <si>
    <t>V-20260830024726-3642BF</t>
  </si>
  <si>
    <t>Tue Jul 07 2026 21:47:26 GMT-0500 (Ecuador Time)</t>
  </si>
  <si>
    <t>Cobertor Plus 2 1/2 Plazas (Queen) (x3.00)</t>
  </si>
  <si>
    <t>V-20260830024701-151C90</t>
  </si>
  <si>
    <t>Tue Jul 07 2026 21:47:01 GMT-0500 (Ecuador Time)</t>
  </si>
  <si>
    <t>V-20260830014152-99E4FD</t>
  </si>
  <si>
    <t>Mon Jul 06 2026 20:41:52 GMT-0500 (Ecuador Time)</t>
  </si>
  <si>
    <t>V-20260830014129-89B827</t>
  </si>
  <si>
    <t>Mon Jun 29 2026 20:41:29 GMT-0500 (Ecuador Time)</t>
  </si>
  <si>
    <t>V-20260830014108-8ED195</t>
  </si>
  <si>
    <t>Fri Jun 26 2026 20:41:08 GMT-0500 (Ecuador Time)</t>
  </si>
  <si>
    <t>V-20260830024543-B60281</t>
  </si>
  <si>
    <t>Thu Jun 18 2026 21:45:43 GMT-0500 (Ecuador Time)</t>
  </si>
  <si>
    <t>V-20260830024507-3AB290</t>
  </si>
  <si>
    <t>Thu Jun 18 2026 21:45:07 GMT-0500 (Ecuador Time)</t>
  </si>
  <si>
    <t>V-20260830024445-0A9D1F</t>
  </si>
  <si>
    <t>Thu Jun 18 2026 21:44:45 GMT-0500 (Ecuador Time)</t>
  </si>
  <si>
    <t>V-20260830024400-2CACC3</t>
  </si>
  <si>
    <t>Thu Jun 18 2026 21:44:00 GMT-0500 (Ecuador Time)</t>
  </si>
  <si>
    <t>V-20260830024336-9A252F</t>
  </si>
  <si>
    <t>Thu Jun 18 2026 21:43:36 GMT-0500 (Ecuador Time)</t>
  </si>
  <si>
    <t>V-20260830024311-18CCC0</t>
  </si>
  <si>
    <t>Thu Jun 18 2026 21:43:11 GMT-0500 (Ecuador Time)</t>
  </si>
  <si>
    <t>V-20260830024252-63A6DF</t>
  </si>
  <si>
    <t>Thu Jun 18 2026 21:42:52 GMT-0500 (Ecuador Time)</t>
  </si>
  <si>
    <t>V-20260830024230-13A8FC</t>
  </si>
  <si>
    <t>Thu Jun 18 2026 21:42:30 GMT-0500 (Ecuador Time)</t>
  </si>
  <si>
    <t>V-20260830024208-E77BCA</t>
  </si>
  <si>
    <t>Thu Jun 18 2026 21:42:08 GMT-0500 (Ecuador Time)</t>
  </si>
  <si>
    <t>Sábanas Plus 2 Plazas (Full) (x3.00)</t>
  </si>
  <si>
    <t>V-20260830024146-BA9C2B</t>
  </si>
  <si>
    <t>Thu Jun 18 2026 21:41:46 GMT-0500 (Ecuador Time)</t>
  </si>
  <si>
    <t>Cobertor Plus 2 Plazas (Full) (x4.00)</t>
  </si>
  <si>
    <t>V-20260830024116-2997B8</t>
  </si>
  <si>
    <t>Thu Jun 18 2026 21:41:16 GMT-0500 (Ecuador Time)</t>
  </si>
  <si>
    <t>V-20260830024056-749876</t>
  </si>
  <si>
    <t>Thu Jun 18 2026 21:40:56 GMT-0500 (Ecuador Time)</t>
  </si>
  <si>
    <t>V-20260830023150-83DCE2</t>
  </si>
  <si>
    <t>Thu Jun 18 2026 21:31:50 GMT-0500 (Ecuador Time)</t>
  </si>
  <si>
    <t>Aida Álvarez</t>
  </si>
  <si>
    <t>V-20260830015308-7C6F37</t>
  </si>
  <si>
    <t>Thu Jun 18 2026 20:53:08 GMT-0500 (Ecuador Time)</t>
  </si>
  <si>
    <t>V-20260830013955-0060BF</t>
  </si>
  <si>
    <t>Wed Jun 17 2026 20:39:55 GMT-0500 (Ecuador Time)</t>
  </si>
  <si>
    <t>V-20260830013904-5F90E6</t>
  </si>
  <si>
    <t>Wed Jun 17 2026 20:39:04 GMT-0500 (Ecuador Time)</t>
  </si>
  <si>
    <t>V-20260830013837-0B3A20</t>
  </si>
  <si>
    <t>Wed Jun 17 2026 20:38:37 GMT-0500 (Ecuador Time)</t>
  </si>
  <si>
    <t>V-20260830013811-5327F7</t>
  </si>
  <si>
    <t>Wed Jun 17 2026 20:38:11 GMT-0500 (Ecuador Time)</t>
  </si>
  <si>
    <t>V-20260830013746-76F0BB</t>
  </si>
  <si>
    <t>Wed Jun 17 2026 20:37:46 GMT-0500 (Ecuador Time)</t>
  </si>
  <si>
    <t>V-20260830013930-E869FA</t>
  </si>
  <si>
    <t>Tue Jun 16 2026 20:39:30 GMT-0500 (Ecuador Time)</t>
  </si>
  <si>
    <t>V-20260830013644-C330EC</t>
  </si>
  <si>
    <t>Tue Jun 16 2026 20:36:44 GMT-0500 (Ecuador Time)</t>
  </si>
  <si>
    <t>V-20260830013607-D953B2</t>
  </si>
  <si>
    <t>Tue Jun 16 2026 20:36:07 GMT-0500 (Ecuador Time)</t>
  </si>
  <si>
    <t>V-20260830013407-086D7E</t>
  </si>
  <si>
    <t>Tue Jun 16 2026 20:34:07 GMT-0500 (Ecuador Time)</t>
  </si>
  <si>
    <t>Cobertor Plus 1 1/2 Plazas (Twin) (x4.00)</t>
  </si>
  <si>
    <t>V-20260830012911-4C7EAA</t>
  </si>
  <si>
    <t>Tue Jun 16 2026 20:29:11 GMT-0500 (Ecuador Time)</t>
  </si>
  <si>
    <t>V-20260830023123-657CAD</t>
  </si>
  <si>
    <t>Mon Jun 15 2026 21:31:23 GMT-0500 (Ecuador Time)</t>
  </si>
  <si>
    <t>V-20260830023046-438E22</t>
  </si>
  <si>
    <t>Mon Jun 15 2026 21:30:46 GMT-0500 (Ecuador Time)</t>
  </si>
  <si>
    <t>Sábanas Plus 2 1/2 Plazas (Queen) (x4.00)</t>
  </si>
  <si>
    <t>V-20260830022948-786860</t>
  </si>
  <si>
    <t>Mon Jun 15 2026 21:29:48 GMT-0500 (Ecuador Time)</t>
  </si>
  <si>
    <t>Cobertor Plus 2 Plazas (Full) (x6.00)</t>
  </si>
  <si>
    <t>V-20260830022921-BDE4C2</t>
  </si>
  <si>
    <t>Mon Jun 15 2026 21:29:21 GMT-0500 (Ecuador Time)</t>
  </si>
  <si>
    <t>V-20260830013711-64AEEF</t>
  </si>
  <si>
    <t>Mon Jun 15 2026 20:37:11 GMT-0500 (Ecuador Time)</t>
  </si>
  <si>
    <t>V-20260830024033-AEDD11</t>
  </si>
  <si>
    <t>Tue Jun 09 2026 21:40:33 GMT-0500 (Ecuador Time)</t>
  </si>
  <si>
    <t>V-20260830024007-E62BD3</t>
  </si>
  <si>
    <t>Tue Jun 09 2026 21:40:07 GMT-0500 (Ecuador Time)</t>
  </si>
  <si>
    <t>V-20260830023932-953B94</t>
  </si>
  <si>
    <t>Mon Jun 08 2026 21:39:32 GMT-0500 (Ecuador Time)</t>
  </si>
  <si>
    <t>V-20260830022857-40D0A3</t>
  </si>
  <si>
    <t>Mon Jun 01 2026 21:28:57 GMT-0500 (Ecuador Time)</t>
  </si>
  <si>
    <t>V-20260830022831-4CA1EC</t>
  </si>
  <si>
    <t>Mon Jun 01 2026 21:28:31 GMT-0500 (Ecuador Time)</t>
  </si>
  <si>
    <t>Cobertor Plus 2 1/2 Plazas (Queen) (x2.00)</t>
  </si>
  <si>
    <t>V-20260830022803-A4DA51</t>
  </si>
  <si>
    <t>Mon Jun 01 2026 21:28:03 GMT-0500 (Ecuador Time)</t>
  </si>
  <si>
    <t>V-20260829170815-8C742F</t>
  </si>
  <si>
    <t>Mon Jun 01 2026 12:08:15 GMT-0500 (Ecuador Time)</t>
  </si>
  <si>
    <t>Cobertor Plus 2 1/2 Plazas (Queen) (x4.00)</t>
  </si>
  <si>
    <t>Métrica</t>
  </si>
  <si>
    <t>Valor</t>
  </si>
  <si>
    <t>Ventas Totales ($)</t>
  </si>
  <si>
    <t>Utilidad Total ($)</t>
  </si>
  <si>
    <t>Total Comisión Asesores (60%) ($)</t>
  </si>
  <si>
    <t>Total Comisión Locales (40%) ($)</t>
  </si>
  <si>
    <t>Total Gastos Registrados ($)</t>
  </si>
  <si>
    <t>Saldo Neto Comisión Locales ($)</t>
  </si>
  <si>
    <t>Total Unidades Vendidas</t>
  </si>
  <si>
    <t>Total Transacciones</t>
  </si>
  <si>
    <t>PRODUCTO</t>
  </si>
  <si>
    <t>COMPRA</t>
  </si>
  <si>
    <t>VENTA</t>
  </si>
  <si>
    <t>Cobertor Económico 2 Plazas (Full)</t>
  </si>
  <si>
    <t>Cobertor Económico Ovejero 2 Plazas (Full)</t>
  </si>
  <si>
    <t>Sábanas Plus 2 Plazas (Full)247 u</t>
  </si>
  <si>
    <t>Cobertor Económico 2 Plazas (Full)134 u</t>
  </si>
  <si>
    <t>Cobertor Plus 2 Plazas (Full)126 u</t>
  </si>
  <si>
    <t>Fundas de Almohada Estándar56 u</t>
  </si>
  <si>
    <t>Cobertor Plus 2 1/2 Plazas (Queen)50 u</t>
  </si>
  <si>
    <t>Cobertor Económico Ovejero 2 Plazas (Full)45 u</t>
  </si>
  <si>
    <t>Sábanas Plus 2 1/2 Plazas (Queen)34 u</t>
  </si>
  <si>
    <t>Sábanas Económicas 2 Plazas (Full)31 u</t>
  </si>
  <si>
    <t>Protector de Colchón 2 1/2 Plazas (Queen)20 u</t>
  </si>
  <si>
    <t>Protector de Colchón 2 Plazas (Full)20 u</t>
  </si>
  <si>
    <t>Cobertor Plus Ovejero 2 Plazas (Full)11 u</t>
  </si>
  <si>
    <t>Cobertor Plus 3 Plazas (King)8 u</t>
  </si>
  <si>
    <t>Sábanas Plus 1 1/2 Plazas (Twin)8 u</t>
  </si>
  <si>
    <t>Sábanas Plus 3 Plazas (King)8 u</t>
  </si>
  <si>
    <t>Protector de Colchón 3 Plazas (King)6 u</t>
  </si>
  <si>
    <t>Cobertor Plus Ovejero 2 1/2 Plazas (Queen)2 u</t>
  </si>
  <si>
    <t>Cobertor Plus 1 1/2 Plazas (Twin)2 u</t>
  </si>
  <si>
    <t>Cobertor Especial 2 1/2 Plazas (Queen)1 u</t>
  </si>
  <si>
    <t>Cobertor Especial 3 Plazas (King)1 u</t>
  </si>
  <si>
    <t>FISICO</t>
  </si>
  <si>
    <t>INVENT SIST</t>
  </si>
  <si>
    <t>OK</t>
  </si>
  <si>
    <t>Cobertor Especial 2 1/2 Plazas (Queen)</t>
  </si>
  <si>
    <t>Cobertor Especial 3 Plazas (King)</t>
  </si>
  <si>
    <t>Cobertor Plus 1 1/2 Plazas (Twin)</t>
  </si>
  <si>
    <t>Cobertor Plus 2 1/2 Plazas (Queen)</t>
  </si>
  <si>
    <t>Cobertor Plus 2 Plazas (Full)</t>
  </si>
  <si>
    <t>Cobertor Plus 3 Plazas (King)</t>
  </si>
  <si>
    <t>Cobertor Plus Ovejero 2 1/2 Plazas (Queen)</t>
  </si>
  <si>
    <t>Cobertor Plus Ovejero 2 Plazas (Full)</t>
  </si>
  <si>
    <t>Fundas de Almohada Estándar</t>
  </si>
  <si>
    <t>Protector de Colchón 2 1/2 Plazas (Queen)</t>
  </si>
  <si>
    <t>Protector de Colchón 2 Plazas (Full)</t>
  </si>
  <si>
    <t>Protector de Colchón 3 Plazas (King)</t>
  </si>
  <si>
    <t>Sábanas Económicas 2 Plazas (Full)</t>
  </si>
  <si>
    <t>Sábanas Plus 1 1/2 Plazas (Twin)</t>
  </si>
  <si>
    <t>Sábanas Plus 2 1/2 Plazas (Queen)</t>
  </si>
  <si>
    <t>Sábanas Plus 2 Plazas (Full)</t>
  </si>
  <si>
    <t>Sábanas Plus 3 Plazas (King)</t>
  </si>
  <si>
    <t>ID Stock</t>
  </si>
  <si>
    <t>Producto</t>
  </si>
  <si>
    <t>Stock Actual</t>
  </si>
  <si>
    <t>Stock Mínimo</t>
  </si>
  <si>
    <t>Estado Stock</t>
  </si>
  <si>
    <t>DISPONIBLE</t>
  </si>
  <si>
    <t>BAJO STOCK</t>
  </si>
  <si>
    <t>AGOTADO</t>
  </si>
  <si>
    <t>INVENT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</si>
</sst>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NumberFormat="1"/>
    <xf numFmtId="0" fontId="1" fillId="0" borderId="0" xfId="0" applyNumberFormat="1" applyFon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2" fillId="0" borderId="0" xfId="0" applyNumberFormat="1" applyFont="1"/>
    <xf numFmtId="0" fontId="0" fillId="12" borderId="0" xfId="0" applyNumberFormat="1" applyFill="1"/>
    <xf numFmtId="0" fontId="3" fillId="0" borderId="0" xfId="0" applyNumberFormat="1" applyFont="1"/>
    <xf numFmtId="0" fontId="4" fillId="0" borderId="0" xfId="0" applyNumberFormat="1" applyFont="1"/>
    <xf numFmtId="0" fontId="0" fillId="0" borderId="0" xfId="0" applyNumberFormat="1" applyFont="1"/>
    <xf numFmtId="0" fontId="0" fillId="0" borderId="0" xfId="0" applyNumberFormat="1" applyAlignment="1">
      <alignment horizontal="right"/>
    </xf>
    <xf numFmtId="0" fontId="3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topLeftCell="C97" workbookViewId="0">
      <selection activeCell="H127" sqref="H127"/>
    </sheetView>
  </sheetViews>
  <sheetFormatPr baseColWidth="10" defaultRowHeight="15" x14ac:dyDescent="0.25"/>
  <cols>
    <col min="1" max="2" width="0" hidden="1" customWidth="1"/>
    <col min="3" max="3" width="23" customWidth="1"/>
    <col min="4" max="6" width="0" hidden="1" customWidth="1"/>
    <col min="7" max="7" width="11.625" hidden="1" customWidth="1"/>
    <col min="8" max="8" width="39.12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124</v>
      </c>
      <c r="B2" t="s">
        <v>23</v>
      </c>
      <c r="C2" t="s">
        <v>24</v>
      </c>
      <c r="D2" t="s">
        <v>17</v>
      </c>
      <c r="E2" t="s">
        <v>18</v>
      </c>
      <c r="F2" t="s">
        <v>17</v>
      </c>
      <c r="G2" t="s">
        <v>19</v>
      </c>
      <c r="H2" s="2" t="s">
        <v>25</v>
      </c>
      <c r="I2" s="2">
        <v>1</v>
      </c>
      <c r="J2">
        <v>14</v>
      </c>
      <c r="K2">
        <v>4.01</v>
      </c>
      <c r="L2">
        <v>2.41</v>
      </c>
      <c r="M2">
        <v>1.6</v>
      </c>
      <c r="N2" t="s">
        <v>21</v>
      </c>
      <c r="O2" t="s">
        <v>22</v>
      </c>
    </row>
    <row r="3" spans="1:15" ht="15.75" x14ac:dyDescent="0.25">
      <c r="A3">
        <v>110</v>
      </c>
      <c r="B3" t="s">
        <v>61</v>
      </c>
      <c r="C3" t="s">
        <v>62</v>
      </c>
      <c r="D3" t="s">
        <v>17</v>
      </c>
      <c r="E3" t="s">
        <v>18</v>
      </c>
      <c r="F3" t="s">
        <v>17</v>
      </c>
      <c r="G3" t="s">
        <v>34</v>
      </c>
      <c r="H3" s="2" t="s">
        <v>25</v>
      </c>
      <c r="I3" s="2">
        <v>1</v>
      </c>
      <c r="J3">
        <v>14</v>
      </c>
      <c r="K3">
        <v>4.01</v>
      </c>
      <c r="L3">
        <v>2.41</v>
      </c>
      <c r="M3">
        <v>1.6</v>
      </c>
      <c r="N3" t="s">
        <v>21</v>
      </c>
      <c r="O3" t="s">
        <v>22</v>
      </c>
    </row>
    <row r="4" spans="1:15" ht="15.75" x14ac:dyDescent="0.25">
      <c r="A4">
        <v>97</v>
      </c>
      <c r="B4" t="s">
        <v>91</v>
      </c>
      <c r="C4" t="s">
        <v>92</v>
      </c>
      <c r="D4" t="s">
        <v>17</v>
      </c>
      <c r="E4" t="s">
        <v>18</v>
      </c>
      <c r="F4" t="s">
        <v>17</v>
      </c>
      <c r="G4" t="s">
        <v>19</v>
      </c>
      <c r="H4" s="2" t="s">
        <v>25</v>
      </c>
      <c r="I4" s="2">
        <v>1</v>
      </c>
      <c r="J4">
        <v>14</v>
      </c>
      <c r="K4">
        <v>4.01</v>
      </c>
      <c r="L4">
        <v>2.41</v>
      </c>
      <c r="M4">
        <v>1.6</v>
      </c>
      <c r="N4" t="s">
        <v>21</v>
      </c>
      <c r="O4" t="s">
        <v>22</v>
      </c>
    </row>
    <row r="5" spans="1:15" ht="15.75" x14ac:dyDescent="0.25">
      <c r="A5">
        <v>93</v>
      </c>
      <c r="B5" t="s">
        <v>100</v>
      </c>
      <c r="C5" t="s">
        <v>101</v>
      </c>
      <c r="D5" t="s">
        <v>17</v>
      </c>
      <c r="E5" t="s">
        <v>18</v>
      </c>
      <c r="F5" t="s">
        <v>17</v>
      </c>
      <c r="G5" t="s">
        <v>19</v>
      </c>
      <c r="H5" s="2" t="s">
        <v>25</v>
      </c>
      <c r="I5" s="2">
        <v>1</v>
      </c>
      <c r="J5">
        <v>14</v>
      </c>
      <c r="K5">
        <v>4.01</v>
      </c>
      <c r="L5">
        <v>2.41</v>
      </c>
      <c r="M5">
        <v>1.6</v>
      </c>
      <c r="N5" t="s">
        <v>21</v>
      </c>
      <c r="O5" t="s">
        <v>22</v>
      </c>
    </row>
    <row r="6" spans="1:15" ht="15.75" x14ac:dyDescent="0.25">
      <c r="A6">
        <v>82</v>
      </c>
      <c r="B6" t="s">
        <v>146</v>
      </c>
      <c r="C6" t="s">
        <v>147</v>
      </c>
      <c r="D6" t="s">
        <v>17</v>
      </c>
      <c r="E6" t="s">
        <v>18</v>
      </c>
      <c r="F6" t="s">
        <v>108</v>
      </c>
      <c r="G6" t="s">
        <v>34</v>
      </c>
      <c r="H6" s="2" t="s">
        <v>25</v>
      </c>
      <c r="I6" s="2">
        <v>1</v>
      </c>
      <c r="J6">
        <v>14</v>
      </c>
      <c r="K6">
        <v>4.01</v>
      </c>
      <c r="L6">
        <v>2.41</v>
      </c>
      <c r="M6">
        <v>1.6</v>
      </c>
      <c r="N6" t="s">
        <v>21</v>
      </c>
      <c r="O6" t="s">
        <v>22</v>
      </c>
    </row>
    <row r="7" spans="1:15" ht="15.75" x14ac:dyDescent="0.25">
      <c r="A7">
        <v>27</v>
      </c>
      <c r="B7" t="s">
        <v>198</v>
      </c>
      <c r="C7" t="s">
        <v>199</v>
      </c>
      <c r="D7" t="s">
        <v>17</v>
      </c>
      <c r="E7" t="s">
        <v>18</v>
      </c>
      <c r="F7" t="s">
        <v>108</v>
      </c>
      <c r="G7" t="s">
        <v>19</v>
      </c>
      <c r="H7" s="2" t="s">
        <v>25</v>
      </c>
      <c r="I7" s="2">
        <v>1</v>
      </c>
      <c r="J7">
        <v>14</v>
      </c>
      <c r="K7">
        <v>4.01</v>
      </c>
      <c r="L7">
        <v>2.41</v>
      </c>
      <c r="M7">
        <v>1.6</v>
      </c>
      <c r="N7" t="s">
        <v>21</v>
      </c>
      <c r="O7" t="s">
        <v>22</v>
      </c>
    </row>
    <row r="8" spans="1:15" ht="15.75" x14ac:dyDescent="0.25">
      <c r="A8">
        <v>72</v>
      </c>
      <c r="B8" t="s">
        <v>233</v>
      </c>
      <c r="C8" t="s">
        <v>234</v>
      </c>
      <c r="D8" t="s">
        <v>17</v>
      </c>
      <c r="E8" t="s">
        <v>18</v>
      </c>
      <c r="F8" t="s">
        <v>108</v>
      </c>
      <c r="G8" t="s">
        <v>34</v>
      </c>
      <c r="H8" s="2" t="s">
        <v>25</v>
      </c>
      <c r="I8" s="2">
        <v>1</v>
      </c>
      <c r="J8">
        <v>14</v>
      </c>
      <c r="K8">
        <v>4.01</v>
      </c>
      <c r="L8">
        <v>2.41</v>
      </c>
      <c r="M8">
        <v>1.6</v>
      </c>
      <c r="N8" t="s">
        <v>21</v>
      </c>
      <c r="O8" t="s">
        <v>22</v>
      </c>
    </row>
    <row r="9" spans="1:15" ht="15.75" x14ac:dyDescent="0.25">
      <c r="A9">
        <v>80</v>
      </c>
      <c r="B9" t="s">
        <v>176</v>
      </c>
      <c r="C9" t="s">
        <v>177</v>
      </c>
      <c r="D9" t="s">
        <v>17</v>
      </c>
      <c r="E9" t="s">
        <v>18</v>
      </c>
      <c r="F9" t="s">
        <v>108</v>
      </c>
      <c r="G9" t="s">
        <v>34</v>
      </c>
      <c r="H9" s="2" t="s">
        <v>178</v>
      </c>
      <c r="I9" s="2">
        <v>2</v>
      </c>
      <c r="J9">
        <v>28</v>
      </c>
      <c r="K9">
        <v>8.02</v>
      </c>
      <c r="L9">
        <v>4.8099999999999996</v>
      </c>
      <c r="M9">
        <v>3.21</v>
      </c>
      <c r="N9" t="s">
        <v>21</v>
      </c>
      <c r="O9" t="s">
        <v>22</v>
      </c>
    </row>
    <row r="10" spans="1:15" ht="15.75" x14ac:dyDescent="0.25">
      <c r="A10">
        <v>36</v>
      </c>
      <c r="B10" t="s">
        <v>167</v>
      </c>
      <c r="C10" t="s">
        <v>168</v>
      </c>
      <c r="D10" t="s">
        <v>17</v>
      </c>
      <c r="E10" t="s">
        <v>18</v>
      </c>
      <c r="F10" t="s">
        <v>108</v>
      </c>
      <c r="G10" t="s">
        <v>19</v>
      </c>
      <c r="H10" s="2" t="s">
        <v>169</v>
      </c>
      <c r="I10" s="2">
        <v>4</v>
      </c>
      <c r="J10">
        <v>56</v>
      </c>
      <c r="K10">
        <v>16.04</v>
      </c>
      <c r="L10">
        <v>9.6199999999999992</v>
      </c>
      <c r="M10">
        <v>6.42</v>
      </c>
      <c r="N10" t="s">
        <v>21</v>
      </c>
      <c r="O10" t="s">
        <v>22</v>
      </c>
    </row>
    <row r="11" spans="1:15" ht="15.75" x14ac:dyDescent="0.25">
      <c r="A11">
        <v>22</v>
      </c>
      <c r="B11" t="s">
        <v>209</v>
      </c>
      <c r="C11" t="s">
        <v>210</v>
      </c>
      <c r="D11" t="s">
        <v>17</v>
      </c>
      <c r="E11" t="s">
        <v>18</v>
      </c>
      <c r="F11" t="s">
        <v>108</v>
      </c>
      <c r="G11" t="s">
        <v>19</v>
      </c>
      <c r="H11" s="2" t="s">
        <v>211</v>
      </c>
      <c r="I11" s="2">
        <v>65</v>
      </c>
      <c r="J11">
        <v>910</v>
      </c>
      <c r="K11">
        <v>260.64999999999998</v>
      </c>
      <c r="L11">
        <v>156.38999999999999</v>
      </c>
      <c r="M11">
        <v>104.26</v>
      </c>
      <c r="N11" t="s">
        <v>21</v>
      </c>
      <c r="O11" t="s">
        <v>22</v>
      </c>
    </row>
    <row r="12" spans="1:15" ht="15.75" x14ac:dyDescent="0.25">
      <c r="A12">
        <v>122</v>
      </c>
      <c r="B12" t="s">
        <v>29</v>
      </c>
      <c r="C12" t="s">
        <v>30</v>
      </c>
      <c r="D12" t="s">
        <v>17</v>
      </c>
      <c r="E12" t="s">
        <v>18</v>
      </c>
      <c r="F12" t="s">
        <v>17</v>
      </c>
      <c r="G12" t="s">
        <v>19</v>
      </c>
      <c r="H12" s="3" t="s">
        <v>31</v>
      </c>
      <c r="I12" s="3">
        <v>1</v>
      </c>
      <c r="J12">
        <v>18.5</v>
      </c>
      <c r="K12">
        <v>3.5</v>
      </c>
      <c r="L12">
        <v>2.1</v>
      </c>
      <c r="M12">
        <v>1.4</v>
      </c>
      <c r="N12" t="s">
        <v>21</v>
      </c>
      <c r="O12" t="s">
        <v>22</v>
      </c>
    </row>
    <row r="13" spans="1:15" ht="15.75" x14ac:dyDescent="0.25">
      <c r="A13">
        <v>84</v>
      </c>
      <c r="B13" t="s">
        <v>142</v>
      </c>
      <c r="C13" t="s">
        <v>143</v>
      </c>
      <c r="D13" t="s">
        <v>17</v>
      </c>
      <c r="E13" t="s">
        <v>18</v>
      </c>
      <c r="F13" t="s">
        <v>108</v>
      </c>
      <c r="G13" t="s">
        <v>34</v>
      </c>
      <c r="H13" s="3" t="s">
        <v>31</v>
      </c>
      <c r="I13" s="3">
        <v>1</v>
      </c>
      <c r="J13">
        <v>20</v>
      </c>
      <c r="K13">
        <v>5</v>
      </c>
      <c r="L13">
        <v>3</v>
      </c>
      <c r="M13">
        <v>2</v>
      </c>
      <c r="N13" t="s">
        <v>21</v>
      </c>
      <c r="O13" t="s">
        <v>22</v>
      </c>
    </row>
    <row r="14" spans="1:15" ht="15.75" x14ac:dyDescent="0.25">
      <c r="A14">
        <v>34</v>
      </c>
      <c r="B14" t="s">
        <v>170</v>
      </c>
      <c r="C14" t="s">
        <v>171</v>
      </c>
      <c r="D14" t="s">
        <v>17</v>
      </c>
      <c r="E14" t="s">
        <v>18</v>
      </c>
      <c r="F14" t="s">
        <v>108</v>
      </c>
      <c r="G14" t="s">
        <v>19</v>
      </c>
      <c r="H14" s="3" t="s">
        <v>31</v>
      </c>
      <c r="I14" s="3">
        <v>1</v>
      </c>
      <c r="J14">
        <v>20</v>
      </c>
      <c r="K14">
        <v>5</v>
      </c>
      <c r="L14">
        <v>3</v>
      </c>
      <c r="M14">
        <v>2</v>
      </c>
      <c r="N14" t="s">
        <v>21</v>
      </c>
      <c r="O14" t="s">
        <v>22</v>
      </c>
    </row>
    <row r="15" spans="1:15" ht="15.75" x14ac:dyDescent="0.25">
      <c r="A15">
        <v>28</v>
      </c>
      <c r="B15" t="s">
        <v>196</v>
      </c>
      <c r="C15" t="s">
        <v>197</v>
      </c>
      <c r="D15" t="s">
        <v>17</v>
      </c>
      <c r="E15" t="s">
        <v>18</v>
      </c>
      <c r="F15" t="s">
        <v>108</v>
      </c>
      <c r="G15" t="s">
        <v>19</v>
      </c>
      <c r="H15" s="3" t="s">
        <v>31</v>
      </c>
      <c r="I15" s="3">
        <v>1</v>
      </c>
      <c r="J15">
        <v>20</v>
      </c>
      <c r="K15">
        <v>5</v>
      </c>
      <c r="L15">
        <v>3</v>
      </c>
      <c r="M15">
        <v>2</v>
      </c>
      <c r="N15" t="s">
        <v>21</v>
      </c>
      <c r="O15" t="s">
        <v>22</v>
      </c>
    </row>
    <row r="16" spans="1:15" ht="15.75" x14ac:dyDescent="0.25">
      <c r="A16">
        <v>95</v>
      </c>
      <c r="B16" t="s">
        <v>93</v>
      </c>
      <c r="C16" t="s">
        <v>94</v>
      </c>
      <c r="D16" t="s">
        <v>17</v>
      </c>
      <c r="E16" t="s">
        <v>18</v>
      </c>
      <c r="F16" t="s">
        <v>95</v>
      </c>
      <c r="G16" t="s">
        <v>34</v>
      </c>
      <c r="H16" s="3" t="s">
        <v>96</v>
      </c>
      <c r="I16" s="3">
        <v>15</v>
      </c>
      <c r="J16">
        <v>277.5</v>
      </c>
      <c r="K16">
        <v>52.5</v>
      </c>
      <c r="L16">
        <v>31.5</v>
      </c>
      <c r="M16">
        <v>21</v>
      </c>
      <c r="N16" t="s">
        <v>21</v>
      </c>
      <c r="O16" t="s">
        <v>22</v>
      </c>
    </row>
    <row r="17" spans="1:15" ht="15.75" x14ac:dyDescent="0.25">
      <c r="A17">
        <v>120</v>
      </c>
      <c r="B17" t="s">
        <v>36</v>
      </c>
      <c r="C17" t="s">
        <v>37</v>
      </c>
      <c r="D17" t="s">
        <v>17</v>
      </c>
      <c r="E17" t="s">
        <v>18</v>
      </c>
      <c r="F17" t="s">
        <v>17</v>
      </c>
      <c r="G17" t="s">
        <v>34</v>
      </c>
      <c r="H17" s="3" t="s">
        <v>38</v>
      </c>
      <c r="I17" s="3">
        <v>2</v>
      </c>
      <c r="J17">
        <v>40</v>
      </c>
      <c r="K17">
        <v>10</v>
      </c>
      <c r="L17">
        <v>6</v>
      </c>
      <c r="M17">
        <v>4</v>
      </c>
      <c r="N17" t="s">
        <v>21</v>
      </c>
      <c r="O17" t="s">
        <v>22</v>
      </c>
    </row>
    <row r="18" spans="1:15" ht="15.75" x14ac:dyDescent="0.25">
      <c r="A18">
        <v>56</v>
      </c>
      <c r="B18" t="s">
        <v>121</v>
      </c>
      <c r="C18" t="s">
        <v>122</v>
      </c>
      <c r="D18" t="s">
        <v>17</v>
      </c>
      <c r="E18" t="s">
        <v>18</v>
      </c>
      <c r="F18" t="s">
        <v>123</v>
      </c>
      <c r="G18" t="s">
        <v>124</v>
      </c>
      <c r="H18" s="3" t="s">
        <v>125</v>
      </c>
      <c r="I18" s="3">
        <v>3</v>
      </c>
      <c r="J18">
        <v>45</v>
      </c>
      <c r="K18">
        <v>0</v>
      </c>
      <c r="L18">
        <v>0</v>
      </c>
      <c r="M18">
        <v>0</v>
      </c>
      <c r="N18" t="s">
        <v>21</v>
      </c>
      <c r="O18" t="s">
        <v>126</v>
      </c>
    </row>
    <row r="19" spans="1:15" ht="15.75" x14ac:dyDescent="0.25">
      <c r="A19">
        <v>31</v>
      </c>
      <c r="B19" t="s">
        <v>184</v>
      </c>
      <c r="C19" t="s">
        <v>185</v>
      </c>
      <c r="D19" t="s">
        <v>17</v>
      </c>
      <c r="E19" t="s">
        <v>18</v>
      </c>
      <c r="F19" t="s">
        <v>108</v>
      </c>
      <c r="G19" t="s">
        <v>19</v>
      </c>
      <c r="H19" s="3" t="s">
        <v>125</v>
      </c>
      <c r="I19" s="3">
        <v>3</v>
      </c>
      <c r="J19">
        <v>60</v>
      </c>
      <c r="K19">
        <v>15</v>
      </c>
      <c r="L19">
        <v>9</v>
      </c>
      <c r="M19">
        <v>6</v>
      </c>
      <c r="N19" t="s">
        <v>21</v>
      </c>
      <c r="O19" t="s">
        <v>22</v>
      </c>
    </row>
    <row r="20" spans="1:15" ht="15.75" x14ac:dyDescent="0.25">
      <c r="A20">
        <v>119</v>
      </c>
      <c r="B20" t="s">
        <v>39</v>
      </c>
      <c r="C20" t="s">
        <v>40</v>
      </c>
      <c r="D20" t="s">
        <v>17</v>
      </c>
      <c r="E20" t="s">
        <v>18</v>
      </c>
      <c r="F20" t="s">
        <v>17</v>
      </c>
      <c r="G20" t="s">
        <v>19</v>
      </c>
      <c r="H20" s="3" t="s">
        <v>41</v>
      </c>
      <c r="I20" s="3">
        <v>4</v>
      </c>
      <c r="J20">
        <v>60</v>
      </c>
      <c r="K20">
        <v>0</v>
      </c>
      <c r="L20">
        <v>0</v>
      </c>
      <c r="M20">
        <v>0</v>
      </c>
      <c r="N20" t="s">
        <v>21</v>
      </c>
      <c r="O20" t="s">
        <v>22</v>
      </c>
    </row>
    <row r="21" spans="1:15" ht="15.75" x14ac:dyDescent="0.25">
      <c r="A21">
        <v>46</v>
      </c>
      <c r="B21" t="s">
        <v>127</v>
      </c>
      <c r="C21" t="s">
        <v>128</v>
      </c>
      <c r="D21" t="s">
        <v>17</v>
      </c>
      <c r="E21" t="s">
        <v>18</v>
      </c>
      <c r="F21" t="s">
        <v>108</v>
      </c>
      <c r="G21" t="s">
        <v>19</v>
      </c>
      <c r="H21" t="s">
        <v>129</v>
      </c>
      <c r="I21">
        <v>1</v>
      </c>
      <c r="J21">
        <v>38</v>
      </c>
      <c r="K21">
        <v>12</v>
      </c>
      <c r="L21">
        <v>7.2</v>
      </c>
      <c r="M21">
        <v>4.8</v>
      </c>
      <c r="N21" t="s">
        <v>21</v>
      </c>
      <c r="O21" t="s">
        <v>22</v>
      </c>
    </row>
    <row r="22" spans="1:15" ht="15.75" x14ac:dyDescent="0.25">
      <c r="A22">
        <v>114</v>
      </c>
      <c r="B22" t="s">
        <v>55</v>
      </c>
      <c r="C22" t="s">
        <v>56</v>
      </c>
      <c r="D22" t="s">
        <v>17</v>
      </c>
      <c r="E22" t="s">
        <v>18</v>
      </c>
      <c r="F22" t="s">
        <v>17</v>
      </c>
      <c r="G22" t="s">
        <v>34</v>
      </c>
      <c r="H22" s="5" t="s">
        <v>57</v>
      </c>
      <c r="I22" s="5">
        <v>1</v>
      </c>
      <c r="J22">
        <v>28</v>
      </c>
      <c r="K22">
        <v>0</v>
      </c>
      <c r="L22">
        <v>0</v>
      </c>
      <c r="M22">
        <v>0</v>
      </c>
      <c r="N22" t="s">
        <v>21</v>
      </c>
      <c r="O22" t="s">
        <v>22</v>
      </c>
    </row>
    <row r="23" spans="1:15" ht="15.75" x14ac:dyDescent="0.25">
      <c r="A23">
        <v>89</v>
      </c>
      <c r="B23" t="s">
        <v>114</v>
      </c>
      <c r="C23" t="s">
        <v>115</v>
      </c>
      <c r="D23" t="s">
        <v>17</v>
      </c>
      <c r="E23" t="s">
        <v>18</v>
      </c>
      <c r="F23" t="s">
        <v>108</v>
      </c>
      <c r="G23" t="s">
        <v>34</v>
      </c>
      <c r="H23" s="5" t="s">
        <v>57</v>
      </c>
      <c r="I23" s="5">
        <v>1</v>
      </c>
      <c r="J23">
        <v>28</v>
      </c>
      <c r="K23">
        <v>0</v>
      </c>
      <c r="L23">
        <v>0</v>
      </c>
      <c r="M23">
        <v>0</v>
      </c>
      <c r="N23" t="s">
        <v>21</v>
      </c>
      <c r="O23" t="s">
        <v>116</v>
      </c>
    </row>
    <row r="24" spans="1:15" ht="15.75" x14ac:dyDescent="0.25">
      <c r="A24">
        <v>113</v>
      </c>
      <c r="B24" t="s">
        <v>172</v>
      </c>
      <c r="C24" t="s">
        <v>173</v>
      </c>
      <c r="D24" t="s">
        <v>17</v>
      </c>
      <c r="E24" t="s">
        <v>18</v>
      </c>
      <c r="F24" t="s">
        <v>17</v>
      </c>
      <c r="G24" t="s">
        <v>34</v>
      </c>
      <c r="H24" s="5" t="s">
        <v>57</v>
      </c>
      <c r="I24" s="5">
        <v>1</v>
      </c>
      <c r="J24">
        <v>28</v>
      </c>
      <c r="K24">
        <v>0</v>
      </c>
      <c r="L24">
        <v>0</v>
      </c>
      <c r="M24">
        <v>0</v>
      </c>
      <c r="N24" t="s">
        <v>21</v>
      </c>
      <c r="O24" t="s">
        <v>22</v>
      </c>
    </row>
    <row r="25" spans="1:15" ht="15.75" x14ac:dyDescent="0.25">
      <c r="A25">
        <v>112</v>
      </c>
      <c r="B25" t="s">
        <v>58</v>
      </c>
      <c r="C25" t="s">
        <v>59</v>
      </c>
      <c r="D25" t="s">
        <v>17</v>
      </c>
      <c r="E25" t="s">
        <v>18</v>
      </c>
      <c r="F25" t="s">
        <v>17</v>
      </c>
      <c r="G25" t="s">
        <v>34</v>
      </c>
      <c r="H25" s="7" t="s">
        <v>60</v>
      </c>
      <c r="I25" s="7">
        <v>1</v>
      </c>
      <c r="J25">
        <v>14.5</v>
      </c>
      <c r="K25">
        <v>0.5</v>
      </c>
      <c r="L25">
        <v>0.3</v>
      </c>
      <c r="M25">
        <v>0.2</v>
      </c>
      <c r="N25" t="s">
        <v>21</v>
      </c>
      <c r="O25" t="s">
        <v>22</v>
      </c>
    </row>
    <row r="26" spans="1:15" ht="15.75" x14ac:dyDescent="0.25">
      <c r="A26">
        <v>88</v>
      </c>
      <c r="B26" t="s">
        <v>117</v>
      </c>
      <c r="C26" t="s">
        <v>118</v>
      </c>
      <c r="D26" t="s">
        <v>17</v>
      </c>
      <c r="E26" t="s">
        <v>18</v>
      </c>
      <c r="F26" t="s">
        <v>108</v>
      </c>
      <c r="G26" t="s">
        <v>34</v>
      </c>
      <c r="H26" s="7" t="s">
        <v>60</v>
      </c>
      <c r="I26" s="7">
        <v>1</v>
      </c>
      <c r="J26">
        <v>14.5</v>
      </c>
      <c r="K26">
        <v>0.5</v>
      </c>
      <c r="L26">
        <v>0.3</v>
      </c>
      <c r="M26">
        <v>0.2</v>
      </c>
      <c r="N26" t="s">
        <v>21</v>
      </c>
      <c r="O26" t="s">
        <v>116</v>
      </c>
    </row>
    <row r="27" spans="1:15" ht="15.75" x14ac:dyDescent="0.25">
      <c r="A27">
        <v>71</v>
      </c>
      <c r="B27" t="s">
        <v>241</v>
      </c>
      <c r="C27" t="s">
        <v>242</v>
      </c>
      <c r="D27" t="s">
        <v>17</v>
      </c>
      <c r="E27" t="s">
        <v>18</v>
      </c>
      <c r="F27" t="s">
        <v>108</v>
      </c>
      <c r="G27" t="s">
        <v>34</v>
      </c>
      <c r="H27" s="7" t="s">
        <v>60</v>
      </c>
      <c r="I27" s="7">
        <v>1</v>
      </c>
      <c r="J27">
        <v>20</v>
      </c>
      <c r="K27">
        <v>6</v>
      </c>
      <c r="L27">
        <v>3.6</v>
      </c>
      <c r="M27">
        <v>2.4</v>
      </c>
      <c r="N27" t="s">
        <v>21</v>
      </c>
      <c r="O27" t="s">
        <v>22</v>
      </c>
    </row>
    <row r="28" spans="1:15" ht="15.75" x14ac:dyDescent="0.25">
      <c r="A28">
        <v>3</v>
      </c>
      <c r="B28" t="s">
        <v>288</v>
      </c>
      <c r="C28" t="s">
        <v>289</v>
      </c>
      <c r="D28" t="s">
        <v>17</v>
      </c>
      <c r="E28" t="s">
        <v>18</v>
      </c>
      <c r="F28" t="s">
        <v>17</v>
      </c>
      <c r="G28" t="s">
        <v>19</v>
      </c>
      <c r="H28" s="7" t="s">
        <v>290</v>
      </c>
      <c r="I28" s="7">
        <v>4</v>
      </c>
      <c r="J28">
        <v>80</v>
      </c>
      <c r="K28">
        <v>24</v>
      </c>
      <c r="L28">
        <v>14.4</v>
      </c>
      <c r="M28">
        <v>9.6</v>
      </c>
      <c r="N28" t="s">
        <v>21</v>
      </c>
      <c r="O28" t="s">
        <v>22</v>
      </c>
    </row>
    <row r="29" spans="1:15" ht="15.75" x14ac:dyDescent="0.25">
      <c r="A29">
        <v>108</v>
      </c>
      <c r="B29" t="s">
        <v>66</v>
      </c>
      <c r="C29" t="s">
        <v>67</v>
      </c>
      <c r="D29" t="s">
        <v>17</v>
      </c>
      <c r="E29" t="s">
        <v>18</v>
      </c>
      <c r="F29" t="s">
        <v>17</v>
      </c>
      <c r="G29" t="s">
        <v>19</v>
      </c>
      <c r="H29" s="9" t="s">
        <v>68</v>
      </c>
      <c r="I29" s="9">
        <v>1</v>
      </c>
      <c r="J29">
        <v>18</v>
      </c>
      <c r="K29">
        <v>0</v>
      </c>
      <c r="L29">
        <v>0</v>
      </c>
      <c r="M29">
        <v>0</v>
      </c>
      <c r="N29" t="s">
        <v>21</v>
      </c>
      <c r="O29" t="s">
        <v>22</v>
      </c>
    </row>
    <row r="30" spans="1:15" ht="15.75" x14ac:dyDescent="0.25">
      <c r="A30">
        <v>47</v>
      </c>
      <c r="B30" t="s">
        <v>106</v>
      </c>
      <c r="C30" t="s">
        <v>107</v>
      </c>
      <c r="D30" t="s">
        <v>17</v>
      </c>
      <c r="E30" t="s">
        <v>18</v>
      </c>
      <c r="F30" t="s">
        <v>108</v>
      </c>
      <c r="G30" t="s">
        <v>19</v>
      </c>
      <c r="H30" s="9" t="s">
        <v>68</v>
      </c>
      <c r="I30" s="9">
        <v>1</v>
      </c>
      <c r="J30">
        <v>30</v>
      </c>
      <c r="K30">
        <v>9.3000000000000007</v>
      </c>
      <c r="L30">
        <v>5.58</v>
      </c>
      <c r="M30">
        <v>3.72</v>
      </c>
      <c r="N30" t="s">
        <v>21</v>
      </c>
      <c r="O30" t="s">
        <v>22</v>
      </c>
    </row>
    <row r="31" spans="1:15" ht="15.75" x14ac:dyDescent="0.25">
      <c r="A31">
        <v>45</v>
      </c>
      <c r="B31" t="s">
        <v>130</v>
      </c>
      <c r="C31" t="s">
        <v>131</v>
      </c>
      <c r="D31" t="s">
        <v>17</v>
      </c>
      <c r="E31" t="s">
        <v>18</v>
      </c>
      <c r="F31" t="s">
        <v>108</v>
      </c>
      <c r="G31" t="s">
        <v>19</v>
      </c>
      <c r="H31" s="9" t="s">
        <v>68</v>
      </c>
      <c r="I31" s="9">
        <v>1</v>
      </c>
      <c r="J31">
        <v>30</v>
      </c>
      <c r="K31">
        <v>9.3000000000000007</v>
      </c>
      <c r="L31">
        <v>5.58</v>
      </c>
      <c r="M31">
        <v>3.72</v>
      </c>
      <c r="N31" t="s">
        <v>21</v>
      </c>
      <c r="O31" t="s">
        <v>22</v>
      </c>
    </row>
    <row r="32" spans="1:15" ht="15.75" x14ac:dyDescent="0.25">
      <c r="A32">
        <v>85</v>
      </c>
      <c r="B32" t="s">
        <v>140</v>
      </c>
      <c r="C32" t="s">
        <v>141</v>
      </c>
      <c r="D32" t="s">
        <v>17</v>
      </c>
      <c r="E32" t="s">
        <v>18</v>
      </c>
      <c r="F32" t="s">
        <v>108</v>
      </c>
      <c r="G32" t="s">
        <v>34</v>
      </c>
      <c r="H32" s="9" t="s">
        <v>68</v>
      </c>
      <c r="I32" s="9">
        <v>1</v>
      </c>
      <c r="J32">
        <v>30</v>
      </c>
      <c r="K32">
        <v>9.3000000000000007</v>
      </c>
      <c r="L32">
        <v>5.58</v>
      </c>
      <c r="M32">
        <v>3.72</v>
      </c>
      <c r="N32" t="s">
        <v>21</v>
      </c>
      <c r="O32" t="s">
        <v>22</v>
      </c>
    </row>
    <row r="33" spans="1:15" ht="15.75" x14ac:dyDescent="0.25">
      <c r="A33">
        <v>83</v>
      </c>
      <c r="B33" t="s">
        <v>144</v>
      </c>
      <c r="C33" t="s">
        <v>145</v>
      </c>
      <c r="D33" t="s">
        <v>17</v>
      </c>
      <c r="E33" t="s">
        <v>18</v>
      </c>
      <c r="F33" t="s">
        <v>108</v>
      </c>
      <c r="G33" t="s">
        <v>34</v>
      </c>
      <c r="H33" s="9" t="s">
        <v>68</v>
      </c>
      <c r="I33" s="9">
        <v>1</v>
      </c>
      <c r="J33">
        <v>30</v>
      </c>
      <c r="K33">
        <v>9.3000000000000007</v>
      </c>
      <c r="L33">
        <v>5.58</v>
      </c>
      <c r="M33">
        <v>3.72</v>
      </c>
      <c r="N33" t="s">
        <v>21</v>
      </c>
      <c r="O33" t="s">
        <v>22</v>
      </c>
    </row>
    <row r="34" spans="1:15" ht="15.75" x14ac:dyDescent="0.25">
      <c r="A34">
        <v>13</v>
      </c>
      <c r="B34" t="s">
        <v>152</v>
      </c>
      <c r="C34" t="s">
        <v>153</v>
      </c>
      <c r="D34" t="s">
        <v>17</v>
      </c>
      <c r="E34" t="s">
        <v>18</v>
      </c>
      <c r="F34" t="s">
        <v>108</v>
      </c>
      <c r="G34" t="s">
        <v>19</v>
      </c>
      <c r="H34" s="9" t="s">
        <v>68</v>
      </c>
      <c r="I34" s="9">
        <v>1</v>
      </c>
      <c r="J34">
        <v>30</v>
      </c>
      <c r="K34">
        <v>9.3000000000000007</v>
      </c>
      <c r="L34">
        <v>5.58</v>
      </c>
      <c r="M34">
        <v>3.72</v>
      </c>
      <c r="N34" t="s">
        <v>21</v>
      </c>
      <c r="O34" t="s">
        <v>22</v>
      </c>
    </row>
    <row r="35" spans="1:15" ht="15.75" x14ac:dyDescent="0.25">
      <c r="A35">
        <v>41</v>
      </c>
      <c r="B35" t="s">
        <v>156</v>
      </c>
      <c r="C35" t="s">
        <v>157</v>
      </c>
      <c r="D35" t="s">
        <v>17</v>
      </c>
      <c r="E35" t="s">
        <v>18</v>
      </c>
      <c r="F35" t="s">
        <v>108</v>
      </c>
      <c r="G35" t="s">
        <v>19</v>
      </c>
      <c r="H35" s="9" t="s">
        <v>68</v>
      </c>
      <c r="I35" s="9">
        <v>1</v>
      </c>
      <c r="J35">
        <v>30</v>
      </c>
      <c r="K35">
        <v>9.3000000000000007</v>
      </c>
      <c r="L35">
        <v>5.58</v>
      </c>
      <c r="M35">
        <v>3.72</v>
      </c>
      <c r="N35" t="s">
        <v>21</v>
      </c>
      <c r="O35" t="s">
        <v>22</v>
      </c>
    </row>
    <row r="36" spans="1:15" ht="15.75" x14ac:dyDescent="0.25">
      <c r="A36">
        <v>32</v>
      </c>
      <c r="B36" t="s">
        <v>182</v>
      </c>
      <c r="C36" t="s">
        <v>183</v>
      </c>
      <c r="D36" t="s">
        <v>17</v>
      </c>
      <c r="E36" t="s">
        <v>18</v>
      </c>
      <c r="F36" t="s">
        <v>108</v>
      </c>
      <c r="G36" t="s">
        <v>19</v>
      </c>
      <c r="H36" s="9" t="s">
        <v>68</v>
      </c>
      <c r="I36" s="9">
        <v>1</v>
      </c>
      <c r="J36">
        <v>30</v>
      </c>
      <c r="K36">
        <v>9.3000000000000007</v>
      </c>
      <c r="L36">
        <v>5.58</v>
      </c>
      <c r="M36">
        <v>3.72</v>
      </c>
      <c r="N36" t="s">
        <v>21</v>
      </c>
      <c r="O36" t="s">
        <v>22</v>
      </c>
    </row>
    <row r="37" spans="1:15" ht="15.75" x14ac:dyDescent="0.25">
      <c r="A37">
        <v>68</v>
      </c>
      <c r="B37" t="s">
        <v>247</v>
      </c>
      <c r="C37" t="s">
        <v>248</v>
      </c>
      <c r="D37" t="s">
        <v>17</v>
      </c>
      <c r="E37" t="s">
        <v>18</v>
      </c>
      <c r="F37" t="s">
        <v>108</v>
      </c>
      <c r="G37" t="s">
        <v>34</v>
      </c>
      <c r="H37" s="9" t="s">
        <v>68</v>
      </c>
      <c r="I37" s="9">
        <v>1</v>
      </c>
      <c r="J37">
        <v>30</v>
      </c>
      <c r="K37">
        <v>9.3000000000000007</v>
      </c>
      <c r="L37">
        <v>5.58</v>
      </c>
      <c r="M37">
        <v>3.72</v>
      </c>
      <c r="N37" t="s">
        <v>21</v>
      </c>
      <c r="O37" t="s">
        <v>22</v>
      </c>
    </row>
    <row r="38" spans="1:15" ht="15.75" x14ac:dyDescent="0.25">
      <c r="A38">
        <v>66</v>
      </c>
      <c r="B38" t="s">
        <v>251</v>
      </c>
      <c r="C38" t="s">
        <v>252</v>
      </c>
      <c r="D38" t="s">
        <v>17</v>
      </c>
      <c r="E38" t="s">
        <v>18</v>
      </c>
      <c r="F38" t="s">
        <v>108</v>
      </c>
      <c r="G38" t="s">
        <v>34</v>
      </c>
      <c r="H38" s="9" t="s">
        <v>68</v>
      </c>
      <c r="I38" s="9">
        <v>1</v>
      </c>
      <c r="J38">
        <v>30</v>
      </c>
      <c r="K38">
        <v>9.3000000000000007</v>
      </c>
      <c r="L38">
        <v>5.58</v>
      </c>
      <c r="M38">
        <v>3.72</v>
      </c>
      <c r="N38" t="s">
        <v>21</v>
      </c>
      <c r="O38" t="s">
        <v>22</v>
      </c>
    </row>
    <row r="39" spans="1:15" ht="15.75" x14ac:dyDescent="0.25">
      <c r="A39">
        <v>65</v>
      </c>
      <c r="B39" t="s">
        <v>253</v>
      </c>
      <c r="C39" t="s">
        <v>254</v>
      </c>
      <c r="D39" t="s">
        <v>17</v>
      </c>
      <c r="E39" t="s">
        <v>18</v>
      </c>
      <c r="F39" t="s">
        <v>108</v>
      </c>
      <c r="G39" t="s">
        <v>34</v>
      </c>
      <c r="H39" s="9" t="s">
        <v>68</v>
      </c>
      <c r="I39" s="9">
        <v>1</v>
      </c>
      <c r="J39">
        <v>30</v>
      </c>
      <c r="K39">
        <v>9.3000000000000007</v>
      </c>
      <c r="L39">
        <v>5.58</v>
      </c>
      <c r="M39">
        <v>3.72</v>
      </c>
      <c r="N39" t="s">
        <v>21</v>
      </c>
      <c r="O39" t="s">
        <v>22</v>
      </c>
    </row>
    <row r="40" spans="1:15" ht="15.75" x14ac:dyDescent="0.25">
      <c r="A40">
        <v>8</v>
      </c>
      <c r="B40" t="s">
        <v>278</v>
      </c>
      <c r="C40" t="s">
        <v>279</v>
      </c>
      <c r="D40" t="s">
        <v>17</v>
      </c>
      <c r="E40" t="s">
        <v>18</v>
      </c>
      <c r="F40" t="s">
        <v>108</v>
      </c>
      <c r="G40" t="s">
        <v>19</v>
      </c>
      <c r="H40" s="9" t="s">
        <v>68</v>
      </c>
      <c r="I40" s="9">
        <v>1</v>
      </c>
      <c r="J40">
        <v>30</v>
      </c>
      <c r="K40">
        <v>9.3000000000000007</v>
      </c>
      <c r="L40">
        <v>5.58</v>
      </c>
      <c r="M40">
        <v>3.72</v>
      </c>
      <c r="N40" t="s">
        <v>21</v>
      </c>
      <c r="O40" t="s">
        <v>22</v>
      </c>
    </row>
    <row r="41" spans="1:15" ht="15.75" x14ac:dyDescent="0.25">
      <c r="A41">
        <v>6</v>
      </c>
      <c r="B41" t="s">
        <v>303</v>
      </c>
      <c r="C41" t="s">
        <v>304</v>
      </c>
      <c r="D41" t="s">
        <v>17</v>
      </c>
      <c r="E41" t="s">
        <v>18</v>
      </c>
      <c r="F41" t="s">
        <v>108</v>
      </c>
      <c r="G41" t="s">
        <v>19</v>
      </c>
      <c r="H41" s="9" t="s">
        <v>68</v>
      </c>
      <c r="I41" s="9">
        <v>1</v>
      </c>
      <c r="J41">
        <v>30</v>
      </c>
      <c r="K41">
        <v>9.3000000000000007</v>
      </c>
      <c r="L41">
        <v>5.58</v>
      </c>
      <c r="M41">
        <v>3.72</v>
      </c>
      <c r="N41" t="s">
        <v>21</v>
      </c>
      <c r="O41" t="s">
        <v>22</v>
      </c>
    </row>
    <row r="42" spans="1:15" ht="15.75" x14ac:dyDescent="0.25">
      <c r="A42">
        <v>49</v>
      </c>
      <c r="B42" t="s">
        <v>313</v>
      </c>
      <c r="C42" t="s">
        <v>314</v>
      </c>
      <c r="D42" t="s">
        <v>17</v>
      </c>
      <c r="E42" t="s">
        <v>18</v>
      </c>
      <c r="F42" t="s">
        <v>108</v>
      </c>
      <c r="G42" t="s">
        <v>269</v>
      </c>
      <c r="H42" s="9" t="s">
        <v>315</v>
      </c>
      <c r="I42" s="9">
        <v>2</v>
      </c>
      <c r="J42">
        <v>60</v>
      </c>
      <c r="K42">
        <v>18.600000000000001</v>
      </c>
      <c r="L42">
        <v>11.16</v>
      </c>
      <c r="M42">
        <v>7.44</v>
      </c>
      <c r="N42" t="s">
        <v>21</v>
      </c>
      <c r="O42" t="s">
        <v>22</v>
      </c>
    </row>
    <row r="43" spans="1:15" ht="15.75" x14ac:dyDescent="0.25">
      <c r="A43">
        <v>73</v>
      </c>
      <c r="B43" t="s">
        <v>230</v>
      </c>
      <c r="C43" t="s">
        <v>231</v>
      </c>
      <c r="D43" t="s">
        <v>17</v>
      </c>
      <c r="E43" t="s">
        <v>18</v>
      </c>
      <c r="F43" t="s">
        <v>108</v>
      </c>
      <c r="G43" t="s">
        <v>34</v>
      </c>
      <c r="H43" s="9" t="s">
        <v>232</v>
      </c>
      <c r="I43" s="9">
        <v>3</v>
      </c>
      <c r="J43">
        <v>90</v>
      </c>
      <c r="K43">
        <v>27.9</v>
      </c>
      <c r="L43">
        <v>16.739999999999998</v>
      </c>
      <c r="M43">
        <v>11.16</v>
      </c>
      <c r="N43" t="s">
        <v>21</v>
      </c>
      <c r="O43" t="s">
        <v>22</v>
      </c>
    </row>
    <row r="44" spans="1:15" ht="15.75" x14ac:dyDescent="0.25">
      <c r="A44">
        <v>51</v>
      </c>
      <c r="B44" t="s">
        <v>301</v>
      </c>
      <c r="C44" t="s">
        <v>302</v>
      </c>
      <c r="D44" t="s">
        <v>17</v>
      </c>
      <c r="E44" t="s">
        <v>18</v>
      </c>
      <c r="F44" t="s">
        <v>108</v>
      </c>
      <c r="G44" t="s">
        <v>269</v>
      </c>
      <c r="H44" s="9" t="s">
        <v>232</v>
      </c>
      <c r="I44" s="9">
        <v>3</v>
      </c>
      <c r="J44">
        <v>90</v>
      </c>
      <c r="K44">
        <v>27.9</v>
      </c>
      <c r="L44">
        <v>16.739999999999998</v>
      </c>
      <c r="M44">
        <v>11.16</v>
      </c>
      <c r="N44" t="s">
        <v>21</v>
      </c>
      <c r="O44" t="s">
        <v>22</v>
      </c>
    </row>
    <row r="45" spans="1:15" ht="15.75" x14ac:dyDescent="0.25">
      <c r="A45">
        <v>1</v>
      </c>
      <c r="B45" t="s">
        <v>318</v>
      </c>
      <c r="C45" t="s">
        <v>319</v>
      </c>
      <c r="D45" t="s">
        <v>17</v>
      </c>
      <c r="E45" t="s">
        <v>18</v>
      </c>
      <c r="F45" t="s">
        <v>108</v>
      </c>
      <c r="G45" t="s">
        <v>19</v>
      </c>
      <c r="H45" s="9" t="s">
        <v>320</v>
      </c>
      <c r="I45" s="9">
        <v>4</v>
      </c>
      <c r="J45">
        <v>120</v>
      </c>
      <c r="K45">
        <v>37.200000000000003</v>
      </c>
      <c r="L45">
        <v>22.32</v>
      </c>
      <c r="M45">
        <v>14.88</v>
      </c>
      <c r="N45" t="s">
        <v>21</v>
      </c>
      <c r="O45" t="s">
        <v>22</v>
      </c>
    </row>
    <row r="46" spans="1:15" ht="15.75" x14ac:dyDescent="0.25">
      <c r="A46">
        <v>101</v>
      </c>
      <c r="B46" t="s">
        <v>82</v>
      </c>
      <c r="C46" t="s">
        <v>83</v>
      </c>
      <c r="D46" t="s">
        <v>17</v>
      </c>
      <c r="E46" t="s">
        <v>18</v>
      </c>
      <c r="F46" t="s">
        <v>17</v>
      </c>
      <c r="G46" t="s">
        <v>19</v>
      </c>
      <c r="H46" s="8" t="s">
        <v>84</v>
      </c>
      <c r="I46" s="8">
        <v>1</v>
      </c>
      <c r="J46">
        <v>25</v>
      </c>
      <c r="K46">
        <v>9</v>
      </c>
      <c r="L46">
        <v>5.4</v>
      </c>
      <c r="M46">
        <v>3.6</v>
      </c>
      <c r="N46" t="s">
        <v>21</v>
      </c>
      <c r="O46" t="s">
        <v>22</v>
      </c>
    </row>
    <row r="47" spans="1:15" ht="15.75" x14ac:dyDescent="0.25">
      <c r="A47">
        <v>98</v>
      </c>
      <c r="B47" t="s">
        <v>89</v>
      </c>
      <c r="C47" t="s">
        <v>90</v>
      </c>
      <c r="D47" t="s">
        <v>17</v>
      </c>
      <c r="E47" t="s">
        <v>18</v>
      </c>
      <c r="F47" t="s">
        <v>17</v>
      </c>
      <c r="G47" t="s">
        <v>19</v>
      </c>
      <c r="H47" s="8" t="s">
        <v>84</v>
      </c>
      <c r="I47" s="8">
        <v>1</v>
      </c>
      <c r="J47">
        <v>25</v>
      </c>
      <c r="K47">
        <v>9</v>
      </c>
      <c r="L47">
        <v>5.4</v>
      </c>
      <c r="M47">
        <v>3.6</v>
      </c>
      <c r="N47" t="s">
        <v>21</v>
      </c>
      <c r="O47" t="s">
        <v>22</v>
      </c>
    </row>
    <row r="48" spans="1:15" ht="15.75" x14ac:dyDescent="0.25">
      <c r="A48">
        <v>42</v>
      </c>
      <c r="B48" t="s">
        <v>154</v>
      </c>
      <c r="C48" t="s">
        <v>155</v>
      </c>
      <c r="D48" t="s">
        <v>17</v>
      </c>
      <c r="E48" t="s">
        <v>18</v>
      </c>
      <c r="F48" t="s">
        <v>108</v>
      </c>
      <c r="G48" t="s">
        <v>19</v>
      </c>
      <c r="H48" s="8" t="s">
        <v>84</v>
      </c>
      <c r="I48" s="8">
        <v>1</v>
      </c>
      <c r="J48">
        <v>25</v>
      </c>
      <c r="K48">
        <v>9</v>
      </c>
      <c r="L48">
        <v>5.4</v>
      </c>
      <c r="M48">
        <v>3.6</v>
      </c>
      <c r="N48" t="s">
        <v>21</v>
      </c>
      <c r="O48" t="s">
        <v>22</v>
      </c>
    </row>
    <row r="49" spans="1:15" ht="15.75" x14ac:dyDescent="0.25">
      <c r="A49">
        <v>35</v>
      </c>
      <c r="B49" t="s">
        <v>163</v>
      </c>
      <c r="C49" t="s">
        <v>164</v>
      </c>
      <c r="D49" t="s">
        <v>17</v>
      </c>
      <c r="E49" t="s">
        <v>18</v>
      </c>
      <c r="F49" t="s">
        <v>108</v>
      </c>
      <c r="G49" t="s">
        <v>19</v>
      </c>
      <c r="H49" s="8" t="s">
        <v>84</v>
      </c>
      <c r="I49" s="8">
        <v>1</v>
      </c>
      <c r="J49">
        <v>25</v>
      </c>
      <c r="K49">
        <v>9</v>
      </c>
      <c r="L49">
        <v>5.4</v>
      </c>
      <c r="M49">
        <v>3.6</v>
      </c>
      <c r="N49" t="s">
        <v>21</v>
      </c>
      <c r="O49" t="s">
        <v>22</v>
      </c>
    </row>
    <row r="50" spans="1:15" ht="15.75" x14ac:dyDescent="0.25">
      <c r="A50">
        <v>26</v>
      </c>
      <c r="B50" t="s">
        <v>200</v>
      </c>
      <c r="C50" t="s">
        <v>201</v>
      </c>
      <c r="D50" t="s">
        <v>17</v>
      </c>
      <c r="E50" t="s">
        <v>18</v>
      </c>
      <c r="F50" t="s">
        <v>108</v>
      </c>
      <c r="G50" t="s">
        <v>19</v>
      </c>
      <c r="H50" s="8" t="s">
        <v>84</v>
      </c>
      <c r="I50" s="8">
        <v>1</v>
      </c>
      <c r="J50">
        <v>25</v>
      </c>
      <c r="K50">
        <v>9</v>
      </c>
      <c r="L50">
        <v>5.4</v>
      </c>
      <c r="M50">
        <v>3.6</v>
      </c>
      <c r="N50" t="s">
        <v>21</v>
      </c>
      <c r="O50" t="s">
        <v>22</v>
      </c>
    </row>
    <row r="51" spans="1:15" ht="15.75" x14ac:dyDescent="0.25">
      <c r="A51">
        <v>24</v>
      </c>
      <c r="B51" t="s">
        <v>204</v>
      </c>
      <c r="C51" t="s">
        <v>205</v>
      </c>
      <c r="D51" t="s">
        <v>17</v>
      </c>
      <c r="E51" t="s">
        <v>18</v>
      </c>
      <c r="F51" t="s">
        <v>108</v>
      </c>
      <c r="G51" t="s">
        <v>19</v>
      </c>
      <c r="H51" s="8" t="s">
        <v>84</v>
      </c>
      <c r="I51" s="8">
        <v>1</v>
      </c>
      <c r="J51">
        <v>25</v>
      </c>
      <c r="K51">
        <v>9</v>
      </c>
      <c r="L51">
        <v>5.4</v>
      </c>
      <c r="M51">
        <v>3.6</v>
      </c>
      <c r="N51" t="s">
        <v>21</v>
      </c>
      <c r="O51" t="s">
        <v>22</v>
      </c>
    </row>
    <row r="52" spans="1:15" ht="15.75" x14ac:dyDescent="0.25">
      <c r="A52">
        <v>16</v>
      </c>
      <c r="B52" t="s">
        <v>237</v>
      </c>
      <c r="C52" t="s">
        <v>238</v>
      </c>
      <c r="D52" t="s">
        <v>17</v>
      </c>
      <c r="E52" t="s">
        <v>18</v>
      </c>
      <c r="F52" t="s">
        <v>108</v>
      </c>
      <c r="G52" t="s">
        <v>19</v>
      </c>
      <c r="H52" s="8" t="s">
        <v>84</v>
      </c>
      <c r="I52" s="8">
        <v>1</v>
      </c>
      <c r="J52">
        <v>25</v>
      </c>
      <c r="K52">
        <v>9</v>
      </c>
      <c r="L52">
        <v>5.4</v>
      </c>
      <c r="M52">
        <v>3.6</v>
      </c>
      <c r="N52" t="s">
        <v>21</v>
      </c>
      <c r="O52" t="s">
        <v>22</v>
      </c>
    </row>
    <row r="53" spans="1:15" ht="15.75" x14ac:dyDescent="0.25">
      <c r="A53">
        <v>15</v>
      </c>
      <c r="B53" t="s">
        <v>239</v>
      </c>
      <c r="C53" t="s">
        <v>240</v>
      </c>
      <c r="D53" t="s">
        <v>17</v>
      </c>
      <c r="E53" t="s">
        <v>18</v>
      </c>
      <c r="F53" t="s">
        <v>108</v>
      </c>
      <c r="G53" t="s">
        <v>19</v>
      </c>
      <c r="H53" s="8" t="s">
        <v>84</v>
      </c>
      <c r="I53" s="8">
        <v>1</v>
      </c>
      <c r="J53">
        <v>25</v>
      </c>
      <c r="K53">
        <v>9</v>
      </c>
      <c r="L53">
        <v>5.4</v>
      </c>
      <c r="M53">
        <v>3.6</v>
      </c>
      <c r="N53" t="s">
        <v>21</v>
      </c>
      <c r="O53" t="s">
        <v>22</v>
      </c>
    </row>
    <row r="54" spans="1:15" ht="15.75" x14ac:dyDescent="0.25">
      <c r="A54">
        <v>67</v>
      </c>
      <c r="B54" t="s">
        <v>249</v>
      </c>
      <c r="C54" t="s">
        <v>250</v>
      </c>
      <c r="D54" t="s">
        <v>17</v>
      </c>
      <c r="E54" t="s">
        <v>18</v>
      </c>
      <c r="F54" t="s">
        <v>108</v>
      </c>
      <c r="G54" t="s">
        <v>34</v>
      </c>
      <c r="H54" s="8" t="s">
        <v>84</v>
      </c>
      <c r="I54" s="8">
        <v>1</v>
      </c>
      <c r="J54">
        <v>25</v>
      </c>
      <c r="K54">
        <v>9</v>
      </c>
      <c r="L54">
        <v>5.4</v>
      </c>
      <c r="M54">
        <v>3.6</v>
      </c>
      <c r="N54" t="s">
        <v>21</v>
      </c>
      <c r="O54" t="s">
        <v>22</v>
      </c>
    </row>
    <row r="55" spans="1:15" ht="15.75" x14ac:dyDescent="0.25">
      <c r="A55">
        <v>40</v>
      </c>
      <c r="B55" t="s">
        <v>270</v>
      </c>
      <c r="C55" t="s">
        <v>271</v>
      </c>
      <c r="D55" t="s">
        <v>17</v>
      </c>
      <c r="E55" t="s">
        <v>18</v>
      </c>
      <c r="F55" t="s">
        <v>108</v>
      </c>
      <c r="G55" t="s">
        <v>19</v>
      </c>
      <c r="H55" s="8" t="s">
        <v>84</v>
      </c>
      <c r="I55" s="8">
        <v>1</v>
      </c>
      <c r="J55">
        <v>25</v>
      </c>
      <c r="K55">
        <v>9</v>
      </c>
      <c r="L55">
        <v>5.4</v>
      </c>
      <c r="M55">
        <v>3.6</v>
      </c>
      <c r="N55" t="s">
        <v>21</v>
      </c>
      <c r="O55" t="s">
        <v>22</v>
      </c>
    </row>
    <row r="56" spans="1:15" ht="15.75" x14ac:dyDescent="0.25">
      <c r="A56">
        <v>12</v>
      </c>
      <c r="B56" t="s">
        <v>272</v>
      </c>
      <c r="C56" t="s">
        <v>273</v>
      </c>
      <c r="D56" t="s">
        <v>17</v>
      </c>
      <c r="E56" t="s">
        <v>18</v>
      </c>
      <c r="F56" t="s">
        <v>108</v>
      </c>
      <c r="G56" t="s">
        <v>19</v>
      </c>
      <c r="H56" s="8" t="s">
        <v>84</v>
      </c>
      <c r="I56" s="8">
        <v>1</v>
      </c>
      <c r="J56">
        <v>25</v>
      </c>
      <c r="K56">
        <v>9</v>
      </c>
      <c r="L56">
        <v>5.4</v>
      </c>
      <c r="M56">
        <v>3.6</v>
      </c>
      <c r="N56" t="s">
        <v>21</v>
      </c>
      <c r="O56" t="s">
        <v>22</v>
      </c>
    </row>
    <row r="57" spans="1:15" ht="15.75" x14ac:dyDescent="0.25">
      <c r="A57">
        <v>2</v>
      </c>
      <c r="B57" t="s">
        <v>291</v>
      </c>
      <c r="C57" t="s">
        <v>292</v>
      </c>
      <c r="D57" t="s">
        <v>17</v>
      </c>
      <c r="E57" t="s">
        <v>18</v>
      </c>
      <c r="F57" t="s">
        <v>17</v>
      </c>
      <c r="G57" t="s">
        <v>19</v>
      </c>
      <c r="H57" s="8" t="s">
        <v>84</v>
      </c>
      <c r="I57" s="8">
        <v>1</v>
      </c>
      <c r="J57">
        <v>25</v>
      </c>
      <c r="K57">
        <v>9</v>
      </c>
      <c r="L57">
        <v>5.4</v>
      </c>
      <c r="M57">
        <v>3.6</v>
      </c>
      <c r="N57" t="s">
        <v>21</v>
      </c>
      <c r="O57" t="s">
        <v>22</v>
      </c>
    </row>
    <row r="58" spans="1:15" ht="15.75" x14ac:dyDescent="0.25">
      <c r="A58">
        <v>58</v>
      </c>
      <c r="B58" t="s">
        <v>307</v>
      </c>
      <c r="C58" t="s">
        <v>308</v>
      </c>
      <c r="D58" t="s">
        <v>17</v>
      </c>
      <c r="E58" t="s">
        <v>18</v>
      </c>
      <c r="F58" t="s">
        <v>108</v>
      </c>
      <c r="G58" t="s">
        <v>34</v>
      </c>
      <c r="H58" s="8" t="s">
        <v>84</v>
      </c>
      <c r="I58" s="8">
        <v>1</v>
      </c>
      <c r="J58">
        <v>25</v>
      </c>
      <c r="K58">
        <v>9</v>
      </c>
      <c r="L58">
        <v>5.4</v>
      </c>
      <c r="M58">
        <v>3.6</v>
      </c>
      <c r="N58" t="s">
        <v>21</v>
      </c>
      <c r="O58" t="s">
        <v>22</v>
      </c>
    </row>
    <row r="59" spans="1:15" ht="15.75" x14ac:dyDescent="0.25">
      <c r="A59">
        <v>57</v>
      </c>
      <c r="B59" t="s">
        <v>309</v>
      </c>
      <c r="C59" t="s">
        <v>310</v>
      </c>
      <c r="D59" t="s">
        <v>17</v>
      </c>
      <c r="E59" t="s">
        <v>18</v>
      </c>
      <c r="F59" t="s">
        <v>108</v>
      </c>
      <c r="G59" t="s">
        <v>34</v>
      </c>
      <c r="H59" s="8" t="s">
        <v>84</v>
      </c>
      <c r="I59" s="8">
        <v>1</v>
      </c>
      <c r="J59">
        <v>25</v>
      </c>
      <c r="K59">
        <v>9</v>
      </c>
      <c r="L59">
        <v>5.4</v>
      </c>
      <c r="M59">
        <v>3.6</v>
      </c>
      <c r="N59" t="s">
        <v>21</v>
      </c>
      <c r="O59" t="s">
        <v>22</v>
      </c>
    </row>
    <row r="60" spans="1:15" ht="15.75" x14ac:dyDescent="0.25">
      <c r="A60">
        <v>43</v>
      </c>
      <c r="B60" t="s">
        <v>134</v>
      </c>
      <c r="C60" t="s">
        <v>135</v>
      </c>
      <c r="D60" t="s">
        <v>17</v>
      </c>
      <c r="E60" t="s">
        <v>18</v>
      </c>
      <c r="F60" t="s">
        <v>108</v>
      </c>
      <c r="G60" t="s">
        <v>19</v>
      </c>
      <c r="H60" s="8" t="s">
        <v>136</v>
      </c>
      <c r="I60" s="8">
        <v>2</v>
      </c>
      <c r="J60">
        <v>50</v>
      </c>
      <c r="K60">
        <v>18</v>
      </c>
      <c r="L60">
        <v>10.8</v>
      </c>
      <c r="M60">
        <v>7.2</v>
      </c>
      <c r="N60" t="s">
        <v>21</v>
      </c>
      <c r="O60" t="s">
        <v>22</v>
      </c>
    </row>
    <row r="61" spans="1:15" ht="15.75" x14ac:dyDescent="0.25">
      <c r="A61">
        <v>78</v>
      </c>
      <c r="B61" t="s">
        <v>191</v>
      </c>
      <c r="C61" t="s">
        <v>192</v>
      </c>
      <c r="D61" t="s">
        <v>17</v>
      </c>
      <c r="E61" t="s">
        <v>18</v>
      </c>
      <c r="F61" t="s">
        <v>108</v>
      </c>
      <c r="G61" t="s">
        <v>34</v>
      </c>
      <c r="H61" s="8" t="s">
        <v>136</v>
      </c>
      <c r="I61" s="8">
        <v>2</v>
      </c>
      <c r="J61">
        <v>50</v>
      </c>
      <c r="K61">
        <v>18</v>
      </c>
      <c r="L61">
        <v>10.8</v>
      </c>
      <c r="M61">
        <v>7.2</v>
      </c>
      <c r="N61" t="s">
        <v>21</v>
      </c>
      <c r="O61" t="s">
        <v>22</v>
      </c>
    </row>
    <row r="62" spans="1:15" ht="15.75" x14ac:dyDescent="0.25">
      <c r="A62">
        <v>70</v>
      </c>
      <c r="B62" t="s">
        <v>243</v>
      </c>
      <c r="C62" t="s">
        <v>244</v>
      </c>
      <c r="D62" t="s">
        <v>17</v>
      </c>
      <c r="E62" t="s">
        <v>18</v>
      </c>
      <c r="F62" t="s">
        <v>108</v>
      </c>
      <c r="G62" t="s">
        <v>34</v>
      </c>
      <c r="H62" s="8" t="s">
        <v>136</v>
      </c>
      <c r="I62" s="8">
        <v>2</v>
      </c>
      <c r="J62">
        <v>50</v>
      </c>
      <c r="K62">
        <v>18</v>
      </c>
      <c r="L62">
        <v>10.8</v>
      </c>
      <c r="M62">
        <v>7.2</v>
      </c>
      <c r="N62" t="s">
        <v>21</v>
      </c>
      <c r="O62" t="s">
        <v>22</v>
      </c>
    </row>
    <row r="63" spans="1:15" ht="15.75" x14ac:dyDescent="0.25">
      <c r="A63">
        <v>64</v>
      </c>
      <c r="B63" t="s">
        <v>255</v>
      </c>
      <c r="C63" t="s">
        <v>256</v>
      </c>
      <c r="D63" t="s">
        <v>17</v>
      </c>
      <c r="E63" t="s">
        <v>18</v>
      </c>
      <c r="F63" t="s">
        <v>108</v>
      </c>
      <c r="G63" t="s">
        <v>34</v>
      </c>
      <c r="H63" s="8" t="s">
        <v>136</v>
      </c>
      <c r="I63" s="8">
        <v>2</v>
      </c>
      <c r="J63">
        <v>50</v>
      </c>
      <c r="K63">
        <v>18</v>
      </c>
      <c r="L63">
        <v>10.8</v>
      </c>
      <c r="M63">
        <v>7.2</v>
      </c>
      <c r="N63" t="s">
        <v>21</v>
      </c>
      <c r="O63" t="s">
        <v>22</v>
      </c>
    </row>
    <row r="64" spans="1:15" ht="15.75" x14ac:dyDescent="0.25">
      <c r="A64">
        <v>90</v>
      </c>
      <c r="B64" t="s">
        <v>111</v>
      </c>
      <c r="C64" t="s">
        <v>112</v>
      </c>
      <c r="D64" t="s">
        <v>17</v>
      </c>
      <c r="E64" t="s">
        <v>18</v>
      </c>
      <c r="F64" t="s">
        <v>108</v>
      </c>
      <c r="G64" t="s">
        <v>34</v>
      </c>
      <c r="H64" s="8" t="s">
        <v>113</v>
      </c>
      <c r="I64" s="8">
        <v>3</v>
      </c>
      <c r="J64">
        <v>75</v>
      </c>
      <c r="K64">
        <v>27</v>
      </c>
      <c r="L64">
        <v>16.2</v>
      </c>
      <c r="M64">
        <v>10.8</v>
      </c>
      <c r="N64" t="s">
        <v>21</v>
      </c>
      <c r="O64" t="s">
        <v>22</v>
      </c>
    </row>
    <row r="65" spans="1:15" ht="15.75" x14ac:dyDescent="0.25">
      <c r="A65">
        <v>37</v>
      </c>
      <c r="B65" t="s">
        <v>165</v>
      </c>
      <c r="C65" t="s">
        <v>166</v>
      </c>
      <c r="D65" t="s">
        <v>17</v>
      </c>
      <c r="E65" t="s">
        <v>18</v>
      </c>
      <c r="F65" t="s">
        <v>108</v>
      </c>
      <c r="G65" t="s">
        <v>19</v>
      </c>
      <c r="H65" s="8" t="s">
        <v>113</v>
      </c>
      <c r="I65" s="8">
        <v>3</v>
      </c>
      <c r="J65">
        <v>75</v>
      </c>
      <c r="K65">
        <v>27</v>
      </c>
      <c r="L65">
        <v>16.2</v>
      </c>
      <c r="M65">
        <v>10.8</v>
      </c>
      <c r="N65" t="s">
        <v>21</v>
      </c>
      <c r="O65" t="s">
        <v>22</v>
      </c>
    </row>
    <row r="66" spans="1:15" ht="15.75" x14ac:dyDescent="0.25">
      <c r="A66">
        <v>19</v>
      </c>
      <c r="B66" t="s">
        <v>216</v>
      </c>
      <c r="C66" t="s">
        <v>217</v>
      </c>
      <c r="D66" t="s">
        <v>17</v>
      </c>
      <c r="E66" t="s">
        <v>18</v>
      </c>
      <c r="F66" t="s">
        <v>108</v>
      </c>
      <c r="G66" t="s">
        <v>19</v>
      </c>
      <c r="H66" s="8" t="s">
        <v>113</v>
      </c>
      <c r="I66" s="8">
        <v>3</v>
      </c>
      <c r="J66">
        <v>75</v>
      </c>
      <c r="K66">
        <v>27</v>
      </c>
      <c r="L66">
        <v>16.2</v>
      </c>
      <c r="M66">
        <v>10.8</v>
      </c>
      <c r="N66" t="s">
        <v>21</v>
      </c>
      <c r="O66" t="s">
        <v>22</v>
      </c>
    </row>
    <row r="67" spans="1:15" ht="15.75" x14ac:dyDescent="0.25">
      <c r="A67">
        <v>69</v>
      </c>
      <c r="B67" t="s">
        <v>245</v>
      </c>
      <c r="C67" t="s">
        <v>246</v>
      </c>
      <c r="D67" t="s">
        <v>17</v>
      </c>
      <c r="E67" t="s">
        <v>18</v>
      </c>
      <c r="F67" t="s">
        <v>108</v>
      </c>
      <c r="G67" t="s">
        <v>34</v>
      </c>
      <c r="H67" s="8" t="s">
        <v>113</v>
      </c>
      <c r="I67" s="8">
        <v>3</v>
      </c>
      <c r="J67">
        <v>75</v>
      </c>
      <c r="K67">
        <v>27</v>
      </c>
      <c r="L67">
        <v>16.2</v>
      </c>
      <c r="M67">
        <v>10.8</v>
      </c>
      <c r="N67" t="s">
        <v>21</v>
      </c>
      <c r="O67" t="s">
        <v>22</v>
      </c>
    </row>
    <row r="68" spans="1:15" ht="15.75" x14ac:dyDescent="0.25">
      <c r="A68">
        <v>60</v>
      </c>
      <c r="B68" t="s">
        <v>265</v>
      </c>
      <c r="C68" t="s">
        <v>266</v>
      </c>
      <c r="D68" t="s">
        <v>17</v>
      </c>
      <c r="E68" t="s">
        <v>18</v>
      </c>
      <c r="F68" t="s">
        <v>108</v>
      </c>
      <c r="G68" t="s">
        <v>34</v>
      </c>
      <c r="H68" s="8" t="s">
        <v>113</v>
      </c>
      <c r="I68" s="8">
        <v>3</v>
      </c>
      <c r="J68">
        <v>75</v>
      </c>
      <c r="K68">
        <v>27</v>
      </c>
      <c r="L68">
        <v>16.2</v>
      </c>
      <c r="M68">
        <v>10.8</v>
      </c>
      <c r="N68" t="s">
        <v>21</v>
      </c>
      <c r="O68" t="s">
        <v>22</v>
      </c>
    </row>
    <row r="69" spans="1:15" ht="15.75" x14ac:dyDescent="0.25">
      <c r="A69">
        <v>48</v>
      </c>
      <c r="B69" t="s">
        <v>316</v>
      </c>
      <c r="C69" t="s">
        <v>317</v>
      </c>
      <c r="D69" t="s">
        <v>17</v>
      </c>
      <c r="E69" t="s">
        <v>18</v>
      </c>
      <c r="F69" t="s">
        <v>108</v>
      </c>
      <c r="G69" t="s">
        <v>269</v>
      </c>
      <c r="H69" s="8" t="s">
        <v>113</v>
      </c>
      <c r="I69" s="8">
        <v>3</v>
      </c>
      <c r="J69">
        <v>75</v>
      </c>
      <c r="K69">
        <v>27</v>
      </c>
      <c r="L69">
        <v>16.2</v>
      </c>
      <c r="M69">
        <v>10.8</v>
      </c>
      <c r="N69" t="s">
        <v>21</v>
      </c>
      <c r="O69" t="s">
        <v>22</v>
      </c>
    </row>
    <row r="70" spans="1:15" ht="15.75" x14ac:dyDescent="0.25">
      <c r="A70">
        <v>62</v>
      </c>
      <c r="B70" t="s">
        <v>260</v>
      </c>
      <c r="C70" t="s">
        <v>261</v>
      </c>
      <c r="D70" t="s">
        <v>17</v>
      </c>
      <c r="E70" t="s">
        <v>18</v>
      </c>
      <c r="F70" t="s">
        <v>108</v>
      </c>
      <c r="G70" t="s">
        <v>34</v>
      </c>
      <c r="H70" s="8" t="s">
        <v>262</v>
      </c>
      <c r="I70" s="8">
        <v>4</v>
      </c>
      <c r="J70">
        <v>100</v>
      </c>
      <c r="K70">
        <v>36</v>
      </c>
      <c r="L70">
        <v>21.6</v>
      </c>
      <c r="M70">
        <v>14.4</v>
      </c>
      <c r="N70" t="s">
        <v>21</v>
      </c>
      <c r="O70" t="s">
        <v>22</v>
      </c>
    </row>
    <row r="71" spans="1:15" ht="15.75" x14ac:dyDescent="0.25">
      <c r="A71">
        <v>7</v>
      </c>
      <c r="B71" t="s">
        <v>280</v>
      </c>
      <c r="C71" t="s">
        <v>281</v>
      </c>
      <c r="D71" t="s">
        <v>17</v>
      </c>
      <c r="E71" t="s">
        <v>18</v>
      </c>
      <c r="F71" t="s">
        <v>108</v>
      </c>
      <c r="G71" t="s">
        <v>19</v>
      </c>
      <c r="H71" s="8" t="s">
        <v>262</v>
      </c>
      <c r="I71" s="8">
        <v>4</v>
      </c>
      <c r="J71">
        <v>100</v>
      </c>
      <c r="K71">
        <v>36</v>
      </c>
      <c r="L71">
        <v>21.6</v>
      </c>
      <c r="M71">
        <v>14.4</v>
      </c>
      <c r="N71" t="s">
        <v>21</v>
      </c>
      <c r="O71" t="s">
        <v>22</v>
      </c>
    </row>
    <row r="72" spans="1:15" ht="15.75" x14ac:dyDescent="0.25">
      <c r="A72">
        <v>52</v>
      </c>
      <c r="B72" t="s">
        <v>298</v>
      </c>
      <c r="C72" t="s">
        <v>299</v>
      </c>
      <c r="D72" t="s">
        <v>17</v>
      </c>
      <c r="E72" t="s">
        <v>18</v>
      </c>
      <c r="F72" t="s">
        <v>108</v>
      </c>
      <c r="G72" t="s">
        <v>269</v>
      </c>
      <c r="H72" s="8" t="s">
        <v>300</v>
      </c>
      <c r="I72" s="8">
        <v>6</v>
      </c>
      <c r="J72">
        <v>150</v>
      </c>
      <c r="K72">
        <v>54</v>
      </c>
      <c r="L72">
        <v>32.4</v>
      </c>
      <c r="M72">
        <v>21.6</v>
      </c>
      <c r="N72" t="s">
        <v>21</v>
      </c>
      <c r="O72" t="s">
        <v>22</v>
      </c>
    </row>
    <row r="73" spans="1:15" ht="15.75" x14ac:dyDescent="0.25">
      <c r="A73">
        <v>74</v>
      </c>
      <c r="B73" t="s">
        <v>227</v>
      </c>
      <c r="C73" t="s">
        <v>228</v>
      </c>
      <c r="D73" t="s">
        <v>17</v>
      </c>
      <c r="E73" t="s">
        <v>18</v>
      </c>
      <c r="F73" t="s">
        <v>108</v>
      </c>
      <c r="G73" t="s">
        <v>34</v>
      </c>
      <c r="H73" s="8" t="s">
        <v>229</v>
      </c>
      <c r="I73" s="8">
        <v>8</v>
      </c>
      <c r="J73">
        <v>200</v>
      </c>
      <c r="K73">
        <v>72</v>
      </c>
      <c r="L73">
        <v>43.2</v>
      </c>
      <c r="M73">
        <v>28.8</v>
      </c>
      <c r="N73" t="s">
        <v>21</v>
      </c>
      <c r="O73" t="s">
        <v>22</v>
      </c>
    </row>
    <row r="74" spans="1:15" ht="15.75" x14ac:dyDescent="0.25">
      <c r="A74">
        <v>55</v>
      </c>
      <c r="B74" t="s">
        <v>267</v>
      </c>
      <c r="C74" t="s">
        <v>268</v>
      </c>
      <c r="D74" t="s">
        <v>17</v>
      </c>
      <c r="E74" t="s">
        <v>18</v>
      </c>
      <c r="F74" t="s">
        <v>108</v>
      </c>
      <c r="G74" t="s">
        <v>269</v>
      </c>
      <c r="H74" s="8" t="s">
        <v>229</v>
      </c>
      <c r="I74" s="8">
        <v>8</v>
      </c>
      <c r="J74">
        <v>200</v>
      </c>
      <c r="K74">
        <v>72</v>
      </c>
      <c r="L74">
        <v>43.2</v>
      </c>
      <c r="M74">
        <v>28.8</v>
      </c>
      <c r="N74" t="s">
        <v>21</v>
      </c>
      <c r="O74" t="s">
        <v>22</v>
      </c>
    </row>
    <row r="75" spans="1:15" ht="15.75" x14ac:dyDescent="0.25">
      <c r="A75">
        <v>115</v>
      </c>
      <c r="B75" t="s">
        <v>52</v>
      </c>
      <c r="C75" t="s">
        <v>53</v>
      </c>
      <c r="D75" t="s">
        <v>17</v>
      </c>
      <c r="E75" t="s">
        <v>18</v>
      </c>
      <c r="F75" t="s">
        <v>17</v>
      </c>
      <c r="G75" t="s">
        <v>34</v>
      </c>
      <c r="H75" s="10" t="s">
        <v>54</v>
      </c>
      <c r="I75" s="10">
        <v>1</v>
      </c>
      <c r="J75">
        <v>20</v>
      </c>
      <c r="K75">
        <v>0</v>
      </c>
      <c r="L75">
        <v>0</v>
      </c>
      <c r="M75">
        <v>0</v>
      </c>
      <c r="N75" t="s">
        <v>21</v>
      </c>
      <c r="O75" t="s">
        <v>22</v>
      </c>
    </row>
    <row r="76" spans="1:15" ht="15.75" x14ac:dyDescent="0.25">
      <c r="A76">
        <v>103</v>
      </c>
      <c r="B76" t="s">
        <v>78</v>
      </c>
      <c r="C76" t="s">
        <v>79</v>
      </c>
      <c r="D76" t="s">
        <v>17</v>
      </c>
      <c r="E76" t="s">
        <v>18</v>
      </c>
      <c r="F76" t="s">
        <v>17</v>
      </c>
      <c r="G76" t="s">
        <v>19</v>
      </c>
      <c r="H76" s="10" t="s">
        <v>54</v>
      </c>
      <c r="I76" s="10">
        <v>1</v>
      </c>
      <c r="J76">
        <v>35</v>
      </c>
      <c r="K76">
        <v>12</v>
      </c>
      <c r="L76">
        <v>7.2</v>
      </c>
      <c r="M76">
        <v>4.8</v>
      </c>
      <c r="N76" t="s">
        <v>21</v>
      </c>
      <c r="O76" t="s">
        <v>22</v>
      </c>
    </row>
    <row r="77" spans="1:15" ht="15.75" x14ac:dyDescent="0.25">
      <c r="A77">
        <v>87</v>
      </c>
      <c r="B77" t="s">
        <v>119</v>
      </c>
      <c r="C77" t="s">
        <v>120</v>
      </c>
      <c r="D77" t="s">
        <v>17</v>
      </c>
      <c r="E77" t="s">
        <v>18</v>
      </c>
      <c r="F77" t="s">
        <v>108</v>
      </c>
      <c r="G77" t="s">
        <v>34</v>
      </c>
      <c r="H77" s="10" t="s">
        <v>54</v>
      </c>
      <c r="I77" s="10">
        <v>1</v>
      </c>
      <c r="J77">
        <v>21</v>
      </c>
      <c r="K77">
        <v>0</v>
      </c>
      <c r="L77">
        <v>0</v>
      </c>
      <c r="M77">
        <v>0</v>
      </c>
      <c r="N77" t="s">
        <v>21</v>
      </c>
      <c r="O77" t="s">
        <v>116</v>
      </c>
    </row>
    <row r="78" spans="1:15" ht="15.75" x14ac:dyDescent="0.25">
      <c r="A78">
        <v>111</v>
      </c>
      <c r="B78" t="s">
        <v>174</v>
      </c>
      <c r="C78" t="s">
        <v>175</v>
      </c>
      <c r="D78" t="s">
        <v>17</v>
      </c>
      <c r="E78" t="s">
        <v>18</v>
      </c>
      <c r="F78" t="s">
        <v>17</v>
      </c>
      <c r="G78" t="s">
        <v>34</v>
      </c>
      <c r="H78" s="10" t="s">
        <v>54</v>
      </c>
      <c r="I78" s="10">
        <v>1</v>
      </c>
      <c r="J78">
        <v>20</v>
      </c>
      <c r="K78">
        <v>0</v>
      </c>
      <c r="L78">
        <v>0</v>
      </c>
      <c r="M78">
        <v>0</v>
      </c>
      <c r="N78" t="s">
        <v>21</v>
      </c>
      <c r="O78" t="s">
        <v>22</v>
      </c>
    </row>
    <row r="79" spans="1:15" ht="15.75" x14ac:dyDescent="0.25">
      <c r="A79">
        <v>121</v>
      </c>
      <c r="B79" t="s">
        <v>32</v>
      </c>
      <c r="C79" t="s">
        <v>33</v>
      </c>
      <c r="D79" t="s">
        <v>17</v>
      </c>
      <c r="E79" t="s">
        <v>18</v>
      </c>
      <c r="F79" t="s">
        <v>17</v>
      </c>
      <c r="G79" t="s">
        <v>34</v>
      </c>
      <c r="H79" t="s">
        <v>35</v>
      </c>
      <c r="I79">
        <v>1</v>
      </c>
      <c r="J79">
        <v>21</v>
      </c>
      <c r="K79">
        <v>0</v>
      </c>
      <c r="L79">
        <v>0</v>
      </c>
      <c r="M79">
        <v>0</v>
      </c>
      <c r="N79" t="s">
        <v>21</v>
      </c>
      <c r="O79" t="s">
        <v>22</v>
      </c>
    </row>
    <row r="80" spans="1:15" ht="15.75" x14ac:dyDescent="0.25">
      <c r="A80">
        <v>100</v>
      </c>
      <c r="B80" t="s">
        <v>85</v>
      </c>
      <c r="C80" t="s">
        <v>86</v>
      </c>
      <c r="D80" t="s">
        <v>17</v>
      </c>
      <c r="E80" t="s">
        <v>18</v>
      </c>
      <c r="F80" t="s">
        <v>17</v>
      </c>
      <c r="G80" t="s">
        <v>34</v>
      </c>
      <c r="H80" t="s">
        <v>35</v>
      </c>
      <c r="I80">
        <v>1</v>
      </c>
      <c r="J80">
        <v>35</v>
      </c>
      <c r="K80">
        <v>14</v>
      </c>
      <c r="L80">
        <v>8.4</v>
      </c>
      <c r="M80">
        <v>5.6</v>
      </c>
      <c r="N80" t="s">
        <v>21</v>
      </c>
      <c r="O80" t="s">
        <v>22</v>
      </c>
    </row>
    <row r="81" spans="1:15" ht="15.75" x14ac:dyDescent="0.25">
      <c r="A81">
        <v>33</v>
      </c>
      <c r="B81" t="s">
        <v>179</v>
      </c>
      <c r="C81" t="s">
        <v>180</v>
      </c>
      <c r="D81" t="s">
        <v>17</v>
      </c>
      <c r="E81" t="s">
        <v>18</v>
      </c>
      <c r="F81" t="s">
        <v>108</v>
      </c>
      <c r="G81" t="s">
        <v>19</v>
      </c>
      <c r="H81" s="6" t="s">
        <v>181</v>
      </c>
      <c r="I81" s="6">
        <v>2</v>
      </c>
      <c r="J81">
        <v>7</v>
      </c>
      <c r="K81">
        <v>4</v>
      </c>
      <c r="L81">
        <v>2.4</v>
      </c>
      <c r="M81">
        <v>1.6</v>
      </c>
      <c r="N81" t="s">
        <v>21</v>
      </c>
      <c r="O81" t="s">
        <v>22</v>
      </c>
    </row>
    <row r="82" spans="1:15" ht="15.75" x14ac:dyDescent="0.25">
      <c r="A82">
        <v>109</v>
      </c>
      <c r="B82" t="s">
        <v>63</v>
      </c>
      <c r="C82" t="s">
        <v>64</v>
      </c>
      <c r="D82" t="s">
        <v>17</v>
      </c>
      <c r="E82" t="s">
        <v>18</v>
      </c>
      <c r="F82" t="s">
        <v>17</v>
      </c>
      <c r="G82" t="s">
        <v>19</v>
      </c>
      <c r="H82" s="6" t="s">
        <v>65</v>
      </c>
      <c r="I82" s="6">
        <v>5</v>
      </c>
      <c r="J82">
        <v>7.5</v>
      </c>
      <c r="K82">
        <v>0</v>
      </c>
      <c r="L82">
        <v>0</v>
      </c>
      <c r="M82">
        <v>0</v>
      </c>
      <c r="N82" t="s">
        <v>21</v>
      </c>
      <c r="O82" t="s">
        <v>22</v>
      </c>
    </row>
    <row r="83" spans="1:15" ht="15.75" x14ac:dyDescent="0.25">
      <c r="A83">
        <v>39</v>
      </c>
      <c r="B83" t="s">
        <v>158</v>
      </c>
      <c r="C83" t="s">
        <v>159</v>
      </c>
      <c r="D83" t="s">
        <v>17</v>
      </c>
      <c r="E83" t="s">
        <v>18</v>
      </c>
      <c r="F83" t="s">
        <v>108</v>
      </c>
      <c r="G83" t="s">
        <v>19</v>
      </c>
      <c r="H83" s="9" t="s">
        <v>160</v>
      </c>
      <c r="I83" s="9">
        <v>1</v>
      </c>
      <c r="J83">
        <v>22</v>
      </c>
      <c r="K83">
        <v>6</v>
      </c>
      <c r="L83">
        <v>3.6</v>
      </c>
      <c r="M83">
        <v>2.4</v>
      </c>
      <c r="N83" t="s">
        <v>21</v>
      </c>
      <c r="O83" t="s">
        <v>22</v>
      </c>
    </row>
    <row r="84" spans="1:15" ht="15.75" x14ac:dyDescent="0.25">
      <c r="A84">
        <v>75</v>
      </c>
      <c r="B84" t="s">
        <v>225</v>
      </c>
      <c r="C84" t="s">
        <v>226</v>
      </c>
      <c r="D84" t="s">
        <v>17</v>
      </c>
      <c r="E84" t="s">
        <v>18</v>
      </c>
      <c r="F84" t="s">
        <v>108</v>
      </c>
      <c r="G84" t="s">
        <v>34</v>
      </c>
      <c r="H84" s="9" t="s">
        <v>160</v>
      </c>
      <c r="I84" s="9">
        <v>1</v>
      </c>
      <c r="J84">
        <v>22</v>
      </c>
      <c r="K84">
        <v>6</v>
      </c>
      <c r="L84">
        <v>3.6</v>
      </c>
      <c r="M84">
        <v>2.4</v>
      </c>
      <c r="N84" t="s">
        <v>21</v>
      </c>
      <c r="O84" t="s">
        <v>22</v>
      </c>
    </row>
    <row r="85" spans="1:15" ht="15.75" x14ac:dyDescent="0.25">
      <c r="A85">
        <v>29</v>
      </c>
      <c r="B85" t="s">
        <v>193</v>
      </c>
      <c r="C85" t="s">
        <v>194</v>
      </c>
      <c r="D85" t="s">
        <v>17</v>
      </c>
      <c r="E85" t="s">
        <v>18</v>
      </c>
      <c r="F85" t="s">
        <v>108</v>
      </c>
      <c r="G85" t="s">
        <v>19</v>
      </c>
      <c r="H85" s="9" t="s">
        <v>195</v>
      </c>
      <c r="I85" s="9">
        <v>5</v>
      </c>
      <c r="J85">
        <v>110</v>
      </c>
      <c r="K85">
        <v>30</v>
      </c>
      <c r="L85">
        <v>18</v>
      </c>
      <c r="M85">
        <v>12</v>
      </c>
      <c r="N85" t="s">
        <v>21</v>
      </c>
      <c r="O85" t="s">
        <v>22</v>
      </c>
    </row>
    <row r="86" spans="1:15" ht="15.75" x14ac:dyDescent="0.25">
      <c r="A86">
        <v>118</v>
      </c>
      <c r="B86" t="s">
        <v>42</v>
      </c>
      <c r="C86" t="s">
        <v>43</v>
      </c>
      <c r="D86" t="s">
        <v>17</v>
      </c>
      <c r="E86" t="s">
        <v>18</v>
      </c>
      <c r="F86" t="s">
        <v>17</v>
      </c>
      <c r="G86" t="s">
        <v>19</v>
      </c>
      <c r="H86" s="9" t="s">
        <v>44</v>
      </c>
      <c r="I86" s="9">
        <v>8</v>
      </c>
      <c r="J86">
        <v>128</v>
      </c>
      <c r="K86">
        <v>0</v>
      </c>
      <c r="L86">
        <v>0</v>
      </c>
      <c r="M86">
        <v>0</v>
      </c>
      <c r="N86" t="s">
        <v>21</v>
      </c>
      <c r="O86" t="s">
        <v>22</v>
      </c>
    </row>
    <row r="87" spans="1:15" ht="15.75" x14ac:dyDescent="0.25">
      <c r="A87">
        <v>117</v>
      </c>
      <c r="B87" t="s">
        <v>45</v>
      </c>
      <c r="C87" t="s">
        <v>46</v>
      </c>
      <c r="D87" t="s">
        <v>17</v>
      </c>
      <c r="E87" t="s">
        <v>18</v>
      </c>
      <c r="F87" t="s">
        <v>17</v>
      </c>
      <c r="G87" t="s">
        <v>19</v>
      </c>
      <c r="H87" s="11" t="s">
        <v>47</v>
      </c>
      <c r="I87" s="11">
        <v>1</v>
      </c>
      <c r="J87">
        <v>26</v>
      </c>
      <c r="K87">
        <v>5</v>
      </c>
      <c r="L87">
        <v>3</v>
      </c>
      <c r="M87">
        <v>2</v>
      </c>
      <c r="N87" t="s">
        <v>21</v>
      </c>
      <c r="O87" t="s">
        <v>22</v>
      </c>
    </row>
    <row r="88" spans="1:15" ht="15.75" x14ac:dyDescent="0.25">
      <c r="A88">
        <v>116</v>
      </c>
      <c r="B88" t="s">
        <v>48</v>
      </c>
      <c r="C88" t="s">
        <v>49</v>
      </c>
      <c r="D88" t="s">
        <v>17</v>
      </c>
      <c r="E88" t="s">
        <v>18</v>
      </c>
      <c r="F88" t="s">
        <v>17</v>
      </c>
      <c r="G88" t="s">
        <v>34</v>
      </c>
      <c r="H88" s="11" t="s">
        <v>47</v>
      </c>
      <c r="I88" s="11">
        <v>1</v>
      </c>
      <c r="J88">
        <v>21</v>
      </c>
      <c r="K88">
        <v>0</v>
      </c>
      <c r="L88">
        <v>0</v>
      </c>
      <c r="M88">
        <v>0</v>
      </c>
      <c r="N88" t="s">
        <v>50</v>
      </c>
      <c r="O88" t="s">
        <v>51</v>
      </c>
    </row>
    <row r="89" spans="1:15" ht="15.75" x14ac:dyDescent="0.25">
      <c r="A89">
        <v>104</v>
      </c>
      <c r="B89" t="s">
        <v>76</v>
      </c>
      <c r="C89" t="s">
        <v>77</v>
      </c>
      <c r="D89" t="s">
        <v>17</v>
      </c>
      <c r="E89" t="s">
        <v>18</v>
      </c>
      <c r="F89" t="s">
        <v>17</v>
      </c>
      <c r="G89" t="s">
        <v>19</v>
      </c>
      <c r="H89" s="11" t="s">
        <v>47</v>
      </c>
      <c r="I89" s="11">
        <v>1</v>
      </c>
      <c r="J89">
        <v>26</v>
      </c>
      <c r="K89">
        <v>5</v>
      </c>
      <c r="L89">
        <v>3</v>
      </c>
      <c r="M89">
        <v>2</v>
      </c>
      <c r="N89" t="s">
        <v>21</v>
      </c>
      <c r="O89" t="s">
        <v>22</v>
      </c>
    </row>
    <row r="90" spans="1:15" ht="15.75" x14ac:dyDescent="0.25">
      <c r="A90">
        <v>94</v>
      </c>
      <c r="B90" t="s">
        <v>97</v>
      </c>
      <c r="C90" t="s">
        <v>98</v>
      </c>
      <c r="D90" t="s">
        <v>17</v>
      </c>
      <c r="E90" t="s">
        <v>18</v>
      </c>
      <c r="F90" t="s">
        <v>17</v>
      </c>
      <c r="G90" t="s">
        <v>19</v>
      </c>
      <c r="H90" s="8" t="s">
        <v>99</v>
      </c>
      <c r="I90" s="8">
        <v>1</v>
      </c>
      <c r="J90">
        <v>9.5</v>
      </c>
      <c r="K90">
        <v>2</v>
      </c>
      <c r="L90">
        <v>1.2</v>
      </c>
      <c r="M90">
        <v>0.8</v>
      </c>
      <c r="N90" t="s">
        <v>21</v>
      </c>
      <c r="O90" t="s">
        <v>22</v>
      </c>
    </row>
    <row r="91" spans="1:15" ht="15.75" x14ac:dyDescent="0.25">
      <c r="A91">
        <v>81</v>
      </c>
      <c r="B91" t="s">
        <v>148</v>
      </c>
      <c r="C91" t="s">
        <v>149</v>
      </c>
      <c r="D91" t="s">
        <v>17</v>
      </c>
      <c r="E91" t="s">
        <v>18</v>
      </c>
      <c r="F91" t="s">
        <v>108</v>
      </c>
      <c r="G91" t="s">
        <v>34</v>
      </c>
      <c r="H91" s="8" t="s">
        <v>99</v>
      </c>
      <c r="I91" s="8">
        <v>1</v>
      </c>
      <c r="J91">
        <v>11.5</v>
      </c>
      <c r="K91">
        <v>4</v>
      </c>
      <c r="L91">
        <v>2.4</v>
      </c>
      <c r="M91">
        <v>1.6</v>
      </c>
      <c r="N91" t="s">
        <v>21</v>
      </c>
      <c r="O91" t="s">
        <v>22</v>
      </c>
    </row>
    <row r="92" spans="1:15" ht="15.75" x14ac:dyDescent="0.25">
      <c r="A92">
        <v>23</v>
      </c>
      <c r="B92" t="s">
        <v>206</v>
      </c>
      <c r="C92" t="s">
        <v>207</v>
      </c>
      <c r="D92" t="s">
        <v>17</v>
      </c>
      <c r="E92" t="s">
        <v>18</v>
      </c>
      <c r="F92" t="s">
        <v>108</v>
      </c>
      <c r="G92" t="s">
        <v>19</v>
      </c>
      <c r="H92" s="8" t="s">
        <v>208</v>
      </c>
      <c r="I92" s="8">
        <v>2</v>
      </c>
      <c r="J92">
        <v>23</v>
      </c>
      <c r="K92">
        <v>8</v>
      </c>
      <c r="L92">
        <v>4.8</v>
      </c>
      <c r="M92">
        <v>3.2</v>
      </c>
      <c r="N92" t="s">
        <v>21</v>
      </c>
      <c r="O92" t="s">
        <v>22</v>
      </c>
    </row>
    <row r="93" spans="1:15" ht="15.75" x14ac:dyDescent="0.25">
      <c r="A93">
        <v>106</v>
      </c>
      <c r="B93" t="s">
        <v>71</v>
      </c>
      <c r="C93" t="s">
        <v>72</v>
      </c>
      <c r="D93" t="s">
        <v>17</v>
      </c>
      <c r="E93" t="s">
        <v>18</v>
      </c>
      <c r="F93" t="s">
        <v>17</v>
      </c>
      <c r="G93" t="s">
        <v>19</v>
      </c>
      <c r="H93" s="8" t="s">
        <v>73</v>
      </c>
      <c r="I93" s="8">
        <v>3</v>
      </c>
      <c r="J93">
        <v>22.5</v>
      </c>
      <c r="K93">
        <v>0</v>
      </c>
      <c r="L93">
        <v>0</v>
      </c>
      <c r="M93">
        <v>0</v>
      </c>
      <c r="N93" t="s">
        <v>21</v>
      </c>
      <c r="O93" t="s">
        <v>22</v>
      </c>
    </row>
    <row r="94" spans="1:15" ht="15.75" x14ac:dyDescent="0.25">
      <c r="A94">
        <v>86</v>
      </c>
      <c r="B94" t="s">
        <v>137</v>
      </c>
      <c r="C94" t="s">
        <v>138</v>
      </c>
      <c r="D94" t="s">
        <v>17</v>
      </c>
      <c r="E94" t="s">
        <v>18</v>
      </c>
      <c r="F94" t="s">
        <v>108</v>
      </c>
      <c r="G94" t="s">
        <v>34</v>
      </c>
      <c r="H94" s="13" t="s">
        <v>139</v>
      </c>
      <c r="I94" s="13">
        <v>1</v>
      </c>
      <c r="J94">
        <v>16</v>
      </c>
      <c r="K94">
        <v>5.5</v>
      </c>
      <c r="L94">
        <v>3.3</v>
      </c>
      <c r="M94">
        <v>2.2000000000000002</v>
      </c>
      <c r="N94" t="s">
        <v>21</v>
      </c>
      <c r="O94" t="s">
        <v>22</v>
      </c>
    </row>
    <row r="95" spans="1:15" ht="15.75" x14ac:dyDescent="0.25">
      <c r="A95">
        <v>14</v>
      </c>
      <c r="B95" t="s">
        <v>150</v>
      </c>
      <c r="C95" t="s">
        <v>151</v>
      </c>
      <c r="D95" t="s">
        <v>17</v>
      </c>
      <c r="E95" t="s">
        <v>18</v>
      </c>
      <c r="F95" t="s">
        <v>108</v>
      </c>
      <c r="G95" t="s">
        <v>19</v>
      </c>
      <c r="H95" s="13" t="s">
        <v>139</v>
      </c>
      <c r="I95" s="13">
        <v>1</v>
      </c>
      <c r="J95">
        <v>16</v>
      </c>
      <c r="K95">
        <v>5.5</v>
      </c>
      <c r="L95">
        <v>3.3</v>
      </c>
      <c r="M95">
        <v>2.2000000000000002</v>
      </c>
      <c r="N95" t="s">
        <v>21</v>
      </c>
      <c r="O95" t="s">
        <v>22</v>
      </c>
    </row>
    <row r="96" spans="1:15" ht="15.75" x14ac:dyDescent="0.25">
      <c r="A96">
        <v>38</v>
      </c>
      <c r="B96" t="s">
        <v>161</v>
      </c>
      <c r="C96" t="s">
        <v>162</v>
      </c>
      <c r="D96" t="s">
        <v>17</v>
      </c>
      <c r="E96" t="s">
        <v>18</v>
      </c>
      <c r="F96" t="s">
        <v>108</v>
      </c>
      <c r="G96" t="s">
        <v>19</v>
      </c>
      <c r="H96" s="13" t="s">
        <v>139</v>
      </c>
      <c r="I96" s="13">
        <v>1</v>
      </c>
      <c r="J96">
        <v>16</v>
      </c>
      <c r="K96">
        <v>5.5</v>
      </c>
      <c r="L96">
        <v>3.3</v>
      </c>
      <c r="M96">
        <v>2.2000000000000002</v>
      </c>
      <c r="N96" t="s">
        <v>21</v>
      </c>
      <c r="O96" t="s">
        <v>22</v>
      </c>
    </row>
    <row r="97" spans="1:15" ht="15.75" x14ac:dyDescent="0.25">
      <c r="A97">
        <v>76</v>
      </c>
      <c r="B97" t="s">
        <v>223</v>
      </c>
      <c r="C97" t="s">
        <v>224</v>
      </c>
      <c r="D97" t="s">
        <v>17</v>
      </c>
      <c r="E97" t="s">
        <v>18</v>
      </c>
      <c r="F97" t="s">
        <v>108</v>
      </c>
      <c r="G97" t="s">
        <v>34</v>
      </c>
      <c r="H97" s="13" t="s">
        <v>139</v>
      </c>
      <c r="I97" s="13">
        <v>1</v>
      </c>
      <c r="J97">
        <v>16</v>
      </c>
      <c r="K97">
        <v>5.5</v>
      </c>
      <c r="L97">
        <v>3.3</v>
      </c>
      <c r="M97">
        <v>2.2000000000000002</v>
      </c>
      <c r="N97" t="s">
        <v>21</v>
      </c>
      <c r="O97" t="s">
        <v>22</v>
      </c>
    </row>
    <row r="98" spans="1:15" ht="15.75" x14ac:dyDescent="0.25">
      <c r="A98">
        <v>17</v>
      </c>
      <c r="B98" t="s">
        <v>235</v>
      </c>
      <c r="C98" t="s">
        <v>236</v>
      </c>
      <c r="D98" t="s">
        <v>17</v>
      </c>
      <c r="E98" t="s">
        <v>18</v>
      </c>
      <c r="F98" t="s">
        <v>108</v>
      </c>
      <c r="G98" t="s">
        <v>19</v>
      </c>
      <c r="H98" s="13" t="s">
        <v>139</v>
      </c>
      <c r="I98" s="13">
        <v>1</v>
      </c>
      <c r="J98">
        <v>16</v>
      </c>
      <c r="K98">
        <v>5.5</v>
      </c>
      <c r="L98">
        <v>3.3</v>
      </c>
      <c r="M98">
        <v>2.2000000000000002</v>
      </c>
      <c r="N98" t="s">
        <v>21</v>
      </c>
      <c r="O98" t="s">
        <v>22</v>
      </c>
    </row>
    <row r="99" spans="1:15" ht="15.75" x14ac:dyDescent="0.25">
      <c r="A99">
        <v>10</v>
      </c>
      <c r="B99" t="s">
        <v>274</v>
      </c>
      <c r="C99" t="s">
        <v>275</v>
      </c>
      <c r="D99" t="s">
        <v>17</v>
      </c>
      <c r="E99" t="s">
        <v>18</v>
      </c>
      <c r="F99" t="s">
        <v>108</v>
      </c>
      <c r="G99" t="s">
        <v>19</v>
      </c>
      <c r="H99" s="13" t="s">
        <v>139</v>
      </c>
      <c r="I99" s="13">
        <v>1</v>
      </c>
      <c r="J99">
        <v>16</v>
      </c>
      <c r="K99">
        <v>5.5</v>
      </c>
      <c r="L99">
        <v>3.3</v>
      </c>
      <c r="M99">
        <v>2.2000000000000002</v>
      </c>
      <c r="N99" t="s">
        <v>21</v>
      </c>
      <c r="O99" t="s">
        <v>22</v>
      </c>
    </row>
    <row r="100" spans="1:15" ht="15.75" x14ac:dyDescent="0.25">
      <c r="A100">
        <v>11</v>
      </c>
      <c r="B100" t="s">
        <v>282</v>
      </c>
      <c r="C100" t="s">
        <v>283</v>
      </c>
      <c r="D100" t="s">
        <v>17</v>
      </c>
      <c r="E100" t="s">
        <v>18</v>
      </c>
      <c r="F100" t="s">
        <v>108</v>
      </c>
      <c r="G100" t="s">
        <v>19</v>
      </c>
      <c r="H100" s="13" t="s">
        <v>139</v>
      </c>
      <c r="I100" s="13">
        <v>1</v>
      </c>
      <c r="J100">
        <v>16</v>
      </c>
      <c r="K100">
        <v>5.5</v>
      </c>
      <c r="L100">
        <v>3.3</v>
      </c>
      <c r="M100">
        <v>2.2000000000000002</v>
      </c>
      <c r="N100" t="s">
        <v>21</v>
      </c>
      <c r="O100" t="s">
        <v>22</v>
      </c>
    </row>
    <row r="101" spans="1:15" ht="15.75" x14ac:dyDescent="0.25">
      <c r="A101">
        <v>4</v>
      </c>
      <c r="B101" t="s">
        <v>286</v>
      </c>
      <c r="C101" t="s">
        <v>287</v>
      </c>
      <c r="D101" t="s">
        <v>17</v>
      </c>
      <c r="E101" t="s">
        <v>18</v>
      </c>
      <c r="F101" t="s">
        <v>108</v>
      </c>
      <c r="G101" t="s">
        <v>19</v>
      </c>
      <c r="H101" s="13" t="s">
        <v>139</v>
      </c>
      <c r="I101" s="13">
        <v>1</v>
      </c>
      <c r="J101">
        <v>16</v>
      </c>
      <c r="K101">
        <v>5.5</v>
      </c>
      <c r="L101">
        <v>3.3</v>
      </c>
      <c r="M101">
        <v>2.2000000000000002</v>
      </c>
      <c r="N101" t="s">
        <v>21</v>
      </c>
      <c r="O101" t="s">
        <v>22</v>
      </c>
    </row>
    <row r="102" spans="1:15" ht="15.75" x14ac:dyDescent="0.25">
      <c r="A102">
        <v>53</v>
      </c>
      <c r="B102" t="s">
        <v>295</v>
      </c>
      <c r="C102" t="s">
        <v>296</v>
      </c>
      <c r="D102" t="s">
        <v>17</v>
      </c>
      <c r="E102" t="s">
        <v>18</v>
      </c>
      <c r="F102" t="s">
        <v>108</v>
      </c>
      <c r="G102" t="s">
        <v>269</v>
      </c>
      <c r="H102" s="13" t="s">
        <v>297</v>
      </c>
      <c r="I102" s="13">
        <v>4</v>
      </c>
      <c r="J102">
        <v>64</v>
      </c>
      <c r="K102">
        <v>22</v>
      </c>
      <c r="L102">
        <v>13.2</v>
      </c>
      <c r="M102">
        <v>8.8000000000000007</v>
      </c>
      <c r="N102" t="s">
        <v>21</v>
      </c>
      <c r="O102" t="s">
        <v>22</v>
      </c>
    </row>
    <row r="103" spans="1:15" ht="15.75" x14ac:dyDescent="0.25">
      <c r="A103">
        <v>123</v>
      </c>
      <c r="B103" t="s">
        <v>26</v>
      </c>
      <c r="C103" t="s">
        <v>27</v>
      </c>
      <c r="D103" t="s">
        <v>17</v>
      </c>
      <c r="E103" t="s">
        <v>18</v>
      </c>
      <c r="F103" t="s">
        <v>17</v>
      </c>
      <c r="G103" t="s">
        <v>19</v>
      </c>
      <c r="H103" s="4" t="s">
        <v>28</v>
      </c>
      <c r="I103" s="4">
        <v>1</v>
      </c>
      <c r="J103">
        <v>13.5</v>
      </c>
      <c r="K103">
        <v>4.49</v>
      </c>
      <c r="L103">
        <v>2.69</v>
      </c>
      <c r="M103">
        <v>1.8</v>
      </c>
      <c r="N103" t="s">
        <v>21</v>
      </c>
      <c r="O103" t="s">
        <v>22</v>
      </c>
    </row>
    <row r="104" spans="1:15" ht="15.75" x14ac:dyDescent="0.25">
      <c r="A104">
        <v>102</v>
      </c>
      <c r="B104" t="s">
        <v>80</v>
      </c>
      <c r="C104" t="s">
        <v>81</v>
      </c>
      <c r="D104" t="s">
        <v>17</v>
      </c>
      <c r="E104" t="s">
        <v>18</v>
      </c>
      <c r="F104" t="s">
        <v>17</v>
      </c>
      <c r="G104" t="s">
        <v>19</v>
      </c>
      <c r="H104" s="4" t="s">
        <v>28</v>
      </c>
      <c r="I104" s="4">
        <v>1</v>
      </c>
      <c r="J104">
        <v>15</v>
      </c>
      <c r="K104">
        <v>5.99</v>
      </c>
      <c r="L104">
        <v>3.59</v>
      </c>
      <c r="M104">
        <v>2.4</v>
      </c>
      <c r="N104" t="s">
        <v>21</v>
      </c>
      <c r="O104" t="s">
        <v>22</v>
      </c>
    </row>
    <row r="105" spans="1:15" ht="15.75" x14ac:dyDescent="0.25">
      <c r="A105">
        <v>99</v>
      </c>
      <c r="B105" t="s">
        <v>87</v>
      </c>
      <c r="C105" t="s">
        <v>88</v>
      </c>
      <c r="D105" t="s">
        <v>17</v>
      </c>
      <c r="E105" t="s">
        <v>18</v>
      </c>
      <c r="F105" t="s">
        <v>17</v>
      </c>
      <c r="G105" t="s">
        <v>19</v>
      </c>
      <c r="H105" s="4" t="s">
        <v>28</v>
      </c>
      <c r="I105" s="4">
        <v>1</v>
      </c>
      <c r="J105">
        <v>15</v>
      </c>
      <c r="K105">
        <v>5.99</v>
      </c>
      <c r="L105">
        <v>3.59</v>
      </c>
      <c r="M105">
        <v>2.4</v>
      </c>
      <c r="N105" t="s">
        <v>21</v>
      </c>
      <c r="O105" t="s">
        <v>22</v>
      </c>
    </row>
    <row r="106" spans="1:15" ht="15.75" x14ac:dyDescent="0.25">
      <c r="A106">
        <v>91</v>
      </c>
      <c r="B106" t="s">
        <v>109</v>
      </c>
      <c r="C106" t="s">
        <v>110</v>
      </c>
      <c r="D106" t="s">
        <v>17</v>
      </c>
      <c r="E106" t="s">
        <v>18</v>
      </c>
      <c r="F106" t="s">
        <v>108</v>
      </c>
      <c r="G106" t="s">
        <v>34</v>
      </c>
      <c r="H106" s="4" t="s">
        <v>28</v>
      </c>
      <c r="I106" s="4">
        <v>1</v>
      </c>
      <c r="J106">
        <v>15</v>
      </c>
      <c r="K106">
        <v>5.99</v>
      </c>
      <c r="L106">
        <v>3.59</v>
      </c>
      <c r="M106">
        <v>2.4</v>
      </c>
      <c r="N106" t="s">
        <v>21</v>
      </c>
      <c r="O106" t="s">
        <v>22</v>
      </c>
    </row>
    <row r="107" spans="1:15" ht="15.75" x14ac:dyDescent="0.25">
      <c r="A107">
        <v>30</v>
      </c>
      <c r="B107" t="s">
        <v>186</v>
      </c>
      <c r="C107" t="s">
        <v>187</v>
      </c>
      <c r="D107" t="s">
        <v>17</v>
      </c>
      <c r="E107" t="s">
        <v>18</v>
      </c>
      <c r="F107" t="s">
        <v>108</v>
      </c>
      <c r="G107" t="s">
        <v>19</v>
      </c>
      <c r="H107" s="4" t="s">
        <v>28</v>
      </c>
      <c r="I107" s="4">
        <v>1</v>
      </c>
      <c r="J107">
        <v>15</v>
      </c>
      <c r="K107">
        <v>5.99</v>
      </c>
      <c r="L107">
        <v>3.59</v>
      </c>
      <c r="M107">
        <v>2.4</v>
      </c>
      <c r="N107" t="s">
        <v>21</v>
      </c>
      <c r="O107" t="s">
        <v>22</v>
      </c>
    </row>
    <row r="108" spans="1:15" ht="15.75" x14ac:dyDescent="0.25">
      <c r="A108">
        <v>25</v>
      </c>
      <c r="B108" t="s">
        <v>202</v>
      </c>
      <c r="C108" t="s">
        <v>203</v>
      </c>
      <c r="D108" t="s">
        <v>17</v>
      </c>
      <c r="E108" t="s">
        <v>18</v>
      </c>
      <c r="F108" t="s">
        <v>108</v>
      </c>
      <c r="G108" t="s">
        <v>19</v>
      </c>
      <c r="H108" s="4" t="s">
        <v>28</v>
      </c>
      <c r="I108" s="4">
        <v>1</v>
      </c>
      <c r="J108">
        <v>15</v>
      </c>
      <c r="K108">
        <v>5.99</v>
      </c>
      <c r="L108">
        <v>3.59</v>
      </c>
      <c r="M108">
        <v>2.4</v>
      </c>
      <c r="N108" t="s">
        <v>21</v>
      </c>
      <c r="O108" t="s">
        <v>22</v>
      </c>
    </row>
    <row r="109" spans="1:15" ht="15.75" x14ac:dyDescent="0.25">
      <c r="A109">
        <v>20</v>
      </c>
      <c r="B109" t="s">
        <v>214</v>
      </c>
      <c r="C109" t="s">
        <v>215</v>
      </c>
      <c r="D109" t="s">
        <v>17</v>
      </c>
      <c r="E109" t="s">
        <v>18</v>
      </c>
      <c r="F109" t="s">
        <v>108</v>
      </c>
      <c r="G109" t="s">
        <v>19</v>
      </c>
      <c r="H109" s="4" t="s">
        <v>28</v>
      </c>
      <c r="I109" s="4">
        <v>1</v>
      </c>
      <c r="J109">
        <v>15</v>
      </c>
      <c r="K109">
        <v>5.99</v>
      </c>
      <c r="L109">
        <v>3.59</v>
      </c>
      <c r="M109">
        <v>2.4</v>
      </c>
      <c r="N109" t="s">
        <v>21</v>
      </c>
      <c r="O109" t="s">
        <v>22</v>
      </c>
    </row>
    <row r="110" spans="1:15" ht="15.75" x14ac:dyDescent="0.25">
      <c r="A110">
        <v>18</v>
      </c>
      <c r="B110" t="s">
        <v>218</v>
      </c>
      <c r="C110" t="s">
        <v>219</v>
      </c>
      <c r="D110" t="s">
        <v>17</v>
      </c>
      <c r="E110" t="s">
        <v>18</v>
      </c>
      <c r="F110" t="s">
        <v>108</v>
      </c>
      <c r="G110" t="s">
        <v>19</v>
      </c>
      <c r="H110" s="4" t="s">
        <v>28</v>
      </c>
      <c r="I110" s="4">
        <v>1</v>
      </c>
      <c r="J110">
        <v>15</v>
      </c>
      <c r="K110">
        <v>5.99</v>
      </c>
      <c r="L110">
        <v>3.59</v>
      </c>
      <c r="M110">
        <v>2.4</v>
      </c>
      <c r="N110" t="s">
        <v>21</v>
      </c>
      <c r="O110" t="s">
        <v>22</v>
      </c>
    </row>
    <row r="111" spans="1:15" ht="15.75" x14ac:dyDescent="0.25">
      <c r="A111">
        <v>59</v>
      </c>
      <c r="B111" t="s">
        <v>305</v>
      </c>
      <c r="C111" t="s">
        <v>306</v>
      </c>
      <c r="D111" t="s">
        <v>17</v>
      </c>
      <c r="E111" t="s">
        <v>18</v>
      </c>
      <c r="F111" t="s">
        <v>108</v>
      </c>
      <c r="G111" t="s">
        <v>34</v>
      </c>
      <c r="H111" s="4" t="s">
        <v>28</v>
      </c>
      <c r="I111" s="4">
        <v>1</v>
      </c>
      <c r="J111">
        <v>15</v>
      </c>
      <c r="K111">
        <v>5.99</v>
      </c>
      <c r="L111">
        <v>3.59</v>
      </c>
      <c r="M111">
        <v>2.4</v>
      </c>
      <c r="N111" t="s">
        <v>21</v>
      </c>
      <c r="O111" t="s">
        <v>22</v>
      </c>
    </row>
    <row r="112" spans="1:15" ht="15.75" x14ac:dyDescent="0.25">
      <c r="A112">
        <v>125</v>
      </c>
      <c r="B112" t="s">
        <v>15</v>
      </c>
      <c r="C112" t="s">
        <v>16</v>
      </c>
      <c r="D112" t="s">
        <v>17</v>
      </c>
      <c r="E112" t="s">
        <v>18</v>
      </c>
      <c r="F112" t="s">
        <v>17</v>
      </c>
      <c r="G112" t="s">
        <v>19</v>
      </c>
      <c r="H112" s="4" t="s">
        <v>20</v>
      </c>
      <c r="I112" s="4">
        <v>2</v>
      </c>
      <c r="J112">
        <v>27</v>
      </c>
      <c r="K112">
        <v>8.98</v>
      </c>
      <c r="L112">
        <v>5.39</v>
      </c>
      <c r="M112">
        <v>3.59</v>
      </c>
      <c r="N112" t="s">
        <v>21</v>
      </c>
      <c r="O112" t="s">
        <v>22</v>
      </c>
    </row>
    <row r="113" spans="1:15" ht="15.75" x14ac:dyDescent="0.25">
      <c r="A113">
        <v>107</v>
      </c>
      <c r="B113" t="s">
        <v>69</v>
      </c>
      <c r="C113" t="s">
        <v>70</v>
      </c>
      <c r="D113" t="s">
        <v>17</v>
      </c>
      <c r="E113" t="s">
        <v>18</v>
      </c>
      <c r="F113" t="s">
        <v>17</v>
      </c>
      <c r="G113" t="s">
        <v>19</v>
      </c>
      <c r="H113" s="4" t="s">
        <v>20</v>
      </c>
      <c r="I113" s="4">
        <v>2</v>
      </c>
      <c r="J113">
        <v>18</v>
      </c>
      <c r="K113">
        <v>0</v>
      </c>
      <c r="L113">
        <v>0</v>
      </c>
      <c r="M113">
        <v>0</v>
      </c>
      <c r="N113" t="s">
        <v>21</v>
      </c>
      <c r="O113" t="s">
        <v>22</v>
      </c>
    </row>
    <row r="114" spans="1:15" ht="15.75" x14ac:dyDescent="0.25">
      <c r="A114">
        <v>105</v>
      </c>
      <c r="B114" t="s">
        <v>74</v>
      </c>
      <c r="C114" t="s">
        <v>75</v>
      </c>
      <c r="D114" t="s">
        <v>17</v>
      </c>
      <c r="E114" t="s">
        <v>18</v>
      </c>
      <c r="F114" t="s">
        <v>17</v>
      </c>
      <c r="G114" t="s">
        <v>19</v>
      </c>
      <c r="H114" s="4" t="s">
        <v>20</v>
      </c>
      <c r="I114" s="4">
        <v>2</v>
      </c>
      <c r="J114">
        <v>30</v>
      </c>
      <c r="K114">
        <v>11.98</v>
      </c>
      <c r="L114">
        <v>7.19</v>
      </c>
      <c r="M114">
        <v>4.79</v>
      </c>
      <c r="N114" t="s">
        <v>21</v>
      </c>
      <c r="O114" t="s">
        <v>22</v>
      </c>
    </row>
    <row r="115" spans="1:15" ht="15.75" x14ac:dyDescent="0.25">
      <c r="A115">
        <v>92</v>
      </c>
      <c r="B115" t="s">
        <v>102</v>
      </c>
      <c r="C115" t="s">
        <v>103</v>
      </c>
      <c r="D115" t="s">
        <v>17</v>
      </c>
      <c r="E115" t="s">
        <v>18</v>
      </c>
      <c r="F115" t="s">
        <v>17</v>
      </c>
      <c r="G115" t="s">
        <v>19</v>
      </c>
      <c r="H115" s="4" t="s">
        <v>20</v>
      </c>
      <c r="I115" s="4">
        <v>2</v>
      </c>
      <c r="J115">
        <v>27</v>
      </c>
      <c r="K115">
        <v>8.98</v>
      </c>
      <c r="L115">
        <v>5.39</v>
      </c>
      <c r="M115">
        <v>3.59</v>
      </c>
      <c r="N115" t="s">
        <v>21</v>
      </c>
      <c r="O115" t="s">
        <v>22</v>
      </c>
    </row>
    <row r="116" spans="1:15" ht="15.75" x14ac:dyDescent="0.25">
      <c r="A116">
        <v>96</v>
      </c>
      <c r="B116" t="s">
        <v>104</v>
      </c>
      <c r="C116" t="s">
        <v>105</v>
      </c>
      <c r="D116" t="s">
        <v>17</v>
      </c>
      <c r="E116" t="s">
        <v>18</v>
      </c>
      <c r="F116" t="s">
        <v>17</v>
      </c>
      <c r="G116" t="s">
        <v>19</v>
      </c>
      <c r="H116" s="4" t="s">
        <v>20</v>
      </c>
      <c r="I116" s="4">
        <v>2</v>
      </c>
      <c r="J116">
        <v>30</v>
      </c>
      <c r="K116">
        <v>11.98</v>
      </c>
      <c r="L116">
        <v>7.19</v>
      </c>
      <c r="M116">
        <v>4.79</v>
      </c>
      <c r="N116" t="s">
        <v>21</v>
      </c>
      <c r="O116" t="s">
        <v>22</v>
      </c>
    </row>
    <row r="117" spans="1:15" ht="15.75" x14ac:dyDescent="0.25">
      <c r="A117">
        <v>44</v>
      </c>
      <c r="B117" t="s">
        <v>132</v>
      </c>
      <c r="C117" t="s">
        <v>133</v>
      </c>
      <c r="D117" t="s">
        <v>17</v>
      </c>
      <c r="E117" t="s">
        <v>18</v>
      </c>
      <c r="F117" t="s">
        <v>108</v>
      </c>
      <c r="G117" t="s">
        <v>19</v>
      </c>
      <c r="H117" s="4" t="s">
        <v>20</v>
      </c>
      <c r="I117" s="4">
        <v>2</v>
      </c>
      <c r="J117">
        <v>30</v>
      </c>
      <c r="K117">
        <v>11.98</v>
      </c>
      <c r="L117">
        <v>7.19</v>
      </c>
      <c r="M117">
        <v>4.79</v>
      </c>
      <c r="N117" t="s">
        <v>21</v>
      </c>
      <c r="O117" t="s">
        <v>22</v>
      </c>
    </row>
    <row r="118" spans="1:15" ht="15.75" x14ac:dyDescent="0.25">
      <c r="A118">
        <v>21</v>
      </c>
      <c r="B118" t="s">
        <v>212</v>
      </c>
      <c r="C118" t="s">
        <v>213</v>
      </c>
      <c r="D118" t="s">
        <v>17</v>
      </c>
      <c r="E118" t="s">
        <v>18</v>
      </c>
      <c r="F118" t="s">
        <v>108</v>
      </c>
      <c r="G118" t="s">
        <v>19</v>
      </c>
      <c r="H118" s="4" t="s">
        <v>20</v>
      </c>
      <c r="I118" s="4">
        <v>2</v>
      </c>
      <c r="J118">
        <v>30</v>
      </c>
      <c r="K118">
        <v>11.98</v>
      </c>
      <c r="L118">
        <v>7.19</v>
      </c>
      <c r="M118">
        <v>4.79</v>
      </c>
      <c r="N118" t="s">
        <v>21</v>
      </c>
      <c r="O118" t="s">
        <v>22</v>
      </c>
    </row>
    <row r="119" spans="1:15" ht="15.75" x14ac:dyDescent="0.25">
      <c r="A119">
        <v>9</v>
      </c>
      <c r="B119" t="s">
        <v>276</v>
      </c>
      <c r="C119" t="s">
        <v>277</v>
      </c>
      <c r="D119" t="s">
        <v>17</v>
      </c>
      <c r="E119" t="s">
        <v>18</v>
      </c>
      <c r="F119" t="s">
        <v>108</v>
      </c>
      <c r="G119" t="s">
        <v>19</v>
      </c>
      <c r="H119" s="4" t="s">
        <v>20</v>
      </c>
      <c r="I119" s="4">
        <v>2</v>
      </c>
      <c r="J119">
        <v>30</v>
      </c>
      <c r="K119">
        <v>11.98</v>
      </c>
      <c r="L119">
        <v>7.19</v>
      </c>
      <c r="M119">
        <v>4.79</v>
      </c>
      <c r="N119" t="s">
        <v>21</v>
      </c>
      <c r="O119" t="s">
        <v>22</v>
      </c>
    </row>
    <row r="120" spans="1:15" ht="15.75" x14ac:dyDescent="0.25">
      <c r="A120">
        <v>63</v>
      </c>
      <c r="B120" t="s">
        <v>257</v>
      </c>
      <c r="C120" t="s">
        <v>258</v>
      </c>
      <c r="D120" t="s">
        <v>17</v>
      </c>
      <c r="E120" t="s">
        <v>18</v>
      </c>
      <c r="F120" t="s">
        <v>108</v>
      </c>
      <c r="G120" t="s">
        <v>34</v>
      </c>
      <c r="H120" s="4" t="s">
        <v>259</v>
      </c>
      <c r="I120" s="4">
        <v>3</v>
      </c>
      <c r="J120">
        <v>45</v>
      </c>
      <c r="K120">
        <v>17.97</v>
      </c>
      <c r="L120">
        <v>10.78</v>
      </c>
      <c r="M120">
        <v>7.19</v>
      </c>
      <c r="N120" t="s">
        <v>21</v>
      </c>
      <c r="O120" t="s">
        <v>22</v>
      </c>
    </row>
    <row r="121" spans="1:15" ht="15.75" x14ac:dyDescent="0.25">
      <c r="A121">
        <v>61</v>
      </c>
      <c r="B121" t="s">
        <v>263</v>
      </c>
      <c r="C121" t="s">
        <v>264</v>
      </c>
      <c r="D121" t="s">
        <v>17</v>
      </c>
      <c r="E121" t="s">
        <v>18</v>
      </c>
      <c r="F121" t="s">
        <v>108</v>
      </c>
      <c r="G121" t="s">
        <v>34</v>
      </c>
      <c r="H121" s="4" t="s">
        <v>259</v>
      </c>
      <c r="I121" s="4">
        <v>3</v>
      </c>
      <c r="J121">
        <v>45</v>
      </c>
      <c r="K121">
        <v>17.97</v>
      </c>
      <c r="L121">
        <v>10.78</v>
      </c>
      <c r="M121">
        <v>7.19</v>
      </c>
      <c r="N121" t="s">
        <v>21</v>
      </c>
      <c r="O121" t="s">
        <v>22</v>
      </c>
    </row>
    <row r="122" spans="1:15" ht="15.75" x14ac:dyDescent="0.25">
      <c r="A122">
        <v>5</v>
      </c>
      <c r="B122" t="s">
        <v>284</v>
      </c>
      <c r="C122" t="s">
        <v>285</v>
      </c>
      <c r="D122" t="s">
        <v>17</v>
      </c>
      <c r="E122" t="s">
        <v>18</v>
      </c>
      <c r="F122" t="s">
        <v>108</v>
      </c>
      <c r="G122" t="s">
        <v>19</v>
      </c>
      <c r="H122" s="4" t="s">
        <v>259</v>
      </c>
      <c r="I122" s="4">
        <v>3</v>
      </c>
      <c r="J122">
        <v>45</v>
      </c>
      <c r="K122">
        <v>17.97</v>
      </c>
      <c r="L122">
        <v>10.78</v>
      </c>
      <c r="M122">
        <v>7.19</v>
      </c>
      <c r="N122" t="s">
        <v>21</v>
      </c>
      <c r="O122" t="s">
        <v>22</v>
      </c>
    </row>
    <row r="123" spans="1:15" ht="15.75" x14ac:dyDescent="0.25">
      <c r="A123">
        <v>54</v>
      </c>
      <c r="B123" t="s">
        <v>293</v>
      </c>
      <c r="C123" t="s">
        <v>294</v>
      </c>
      <c r="D123" t="s">
        <v>17</v>
      </c>
      <c r="E123" t="s">
        <v>18</v>
      </c>
      <c r="F123" t="s">
        <v>108</v>
      </c>
      <c r="G123" t="s">
        <v>269</v>
      </c>
      <c r="H123" s="4" t="s">
        <v>259</v>
      </c>
      <c r="I123" s="4">
        <v>3</v>
      </c>
      <c r="J123">
        <v>45</v>
      </c>
      <c r="K123">
        <v>17.97</v>
      </c>
      <c r="L123">
        <v>10.78</v>
      </c>
      <c r="M123">
        <v>7.19</v>
      </c>
      <c r="N123" t="s">
        <v>21</v>
      </c>
      <c r="O123" t="s">
        <v>22</v>
      </c>
    </row>
    <row r="124" spans="1:15" ht="15.75" x14ac:dyDescent="0.25">
      <c r="A124">
        <v>50</v>
      </c>
      <c r="B124" t="s">
        <v>311</v>
      </c>
      <c r="C124" t="s">
        <v>312</v>
      </c>
      <c r="D124" t="s">
        <v>17</v>
      </c>
      <c r="E124" t="s">
        <v>18</v>
      </c>
      <c r="F124" t="s">
        <v>108</v>
      </c>
      <c r="G124" t="s">
        <v>269</v>
      </c>
      <c r="H124" s="4" t="s">
        <v>259</v>
      </c>
      <c r="I124" s="4">
        <v>3</v>
      </c>
      <c r="J124">
        <v>45</v>
      </c>
      <c r="K124">
        <v>17.97</v>
      </c>
      <c r="L124">
        <v>10.78</v>
      </c>
      <c r="M124">
        <v>7.19</v>
      </c>
      <c r="N124" t="s">
        <v>21</v>
      </c>
      <c r="O124" t="s">
        <v>22</v>
      </c>
    </row>
    <row r="125" spans="1:15" ht="15.75" x14ac:dyDescent="0.25">
      <c r="A125">
        <v>79</v>
      </c>
      <c r="B125" t="s">
        <v>188</v>
      </c>
      <c r="C125" t="s">
        <v>189</v>
      </c>
      <c r="D125" t="s">
        <v>17</v>
      </c>
      <c r="E125" t="s">
        <v>18</v>
      </c>
      <c r="F125" t="s">
        <v>108</v>
      </c>
      <c r="G125" t="s">
        <v>34</v>
      </c>
      <c r="H125" s="4" t="s">
        <v>190</v>
      </c>
      <c r="I125" s="4">
        <v>4</v>
      </c>
      <c r="J125">
        <v>60</v>
      </c>
      <c r="K125">
        <v>23.96</v>
      </c>
      <c r="L125">
        <v>14.38</v>
      </c>
      <c r="M125">
        <v>9.58</v>
      </c>
      <c r="N125" t="s">
        <v>21</v>
      </c>
      <c r="O125" t="s">
        <v>22</v>
      </c>
    </row>
    <row r="126" spans="1:15" ht="15.75" x14ac:dyDescent="0.25">
      <c r="A126">
        <v>77</v>
      </c>
      <c r="B126" t="s">
        <v>220</v>
      </c>
      <c r="C126" t="s">
        <v>221</v>
      </c>
      <c r="D126" t="s">
        <v>17</v>
      </c>
      <c r="E126" t="s">
        <v>18</v>
      </c>
      <c r="F126" t="s">
        <v>108</v>
      </c>
      <c r="G126" t="s">
        <v>34</v>
      </c>
      <c r="H126" s="4" t="s">
        <v>222</v>
      </c>
      <c r="I126" s="4">
        <v>5</v>
      </c>
      <c r="J126">
        <v>75</v>
      </c>
      <c r="K126">
        <v>29.95</v>
      </c>
      <c r="L126">
        <v>17.97</v>
      </c>
      <c r="M126">
        <v>11.98</v>
      </c>
      <c r="N126" t="s">
        <v>21</v>
      </c>
      <c r="O126" t="s">
        <v>22</v>
      </c>
    </row>
  </sheetData>
  <autoFilter ref="A1:O126"/>
  <sortState ref="A2:O126">
    <sortCondition ref="H2:H126"/>
  </sortState>
  <pageMargins left="0.7" right="0.7" top="0.75" bottom="0.75" header="0.3" footer="0.3"/>
  <ignoredErrors>
    <ignoredError sqref="A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4" sqref="F4"/>
    </sheetView>
  </sheetViews>
  <sheetFormatPr baseColWidth="10" defaultRowHeight="15.75" x14ac:dyDescent="0.25"/>
  <cols>
    <col min="1" max="1" width="41.375" customWidth="1"/>
    <col min="2" max="2" width="11.625" customWidth="1"/>
    <col min="4" max="4" width="14.75" bestFit="1" customWidth="1"/>
  </cols>
  <sheetData>
    <row r="1" spans="1:6" x14ac:dyDescent="0.25">
      <c r="A1" s="1" t="s">
        <v>331</v>
      </c>
      <c r="B1" s="1" t="s">
        <v>332</v>
      </c>
      <c r="C1" s="1" t="s">
        <v>333</v>
      </c>
      <c r="D1" s="1" t="s">
        <v>383</v>
      </c>
      <c r="E1" s="1" t="s">
        <v>355</v>
      </c>
      <c r="F1" s="1" t="s">
        <v>356</v>
      </c>
    </row>
    <row r="2" spans="1:6" x14ac:dyDescent="0.25">
      <c r="A2" s="14" t="s">
        <v>337</v>
      </c>
      <c r="B2" s="14">
        <v>134</v>
      </c>
      <c r="C2" s="14">
        <v>78</v>
      </c>
      <c r="D2" s="14">
        <f>B2-C2</f>
        <v>56</v>
      </c>
      <c r="E2" s="18">
        <v>51</v>
      </c>
      <c r="F2" s="12">
        <v>56</v>
      </c>
    </row>
    <row r="3" spans="1:6" x14ac:dyDescent="0.25">
      <c r="A3" s="15" t="s">
        <v>341</v>
      </c>
      <c r="B3" s="15">
        <v>45</v>
      </c>
      <c r="C3" s="15">
        <v>31</v>
      </c>
      <c r="D3" s="15">
        <f t="shared" ref="D3:D20" si="0">B3-C3</f>
        <v>14</v>
      </c>
      <c r="E3" s="19" t="s">
        <v>357</v>
      </c>
      <c r="F3" s="16">
        <v>14</v>
      </c>
    </row>
    <row r="4" spans="1:6" x14ac:dyDescent="0.25">
      <c r="A4" s="15" t="s">
        <v>353</v>
      </c>
      <c r="B4" s="15">
        <v>1</v>
      </c>
      <c r="C4" s="15">
        <v>1</v>
      </c>
      <c r="D4" s="15">
        <f t="shared" si="0"/>
        <v>0</v>
      </c>
      <c r="E4" s="19" t="s">
        <v>357</v>
      </c>
      <c r="F4" s="12">
        <v>1</v>
      </c>
    </row>
    <row r="5" spans="1:6" x14ac:dyDescent="0.25">
      <c r="A5" s="14" t="s">
        <v>354</v>
      </c>
      <c r="B5" s="14">
        <v>1</v>
      </c>
      <c r="C5" s="14">
        <v>3</v>
      </c>
      <c r="D5" s="14">
        <f t="shared" si="0"/>
        <v>-2</v>
      </c>
      <c r="E5" s="18">
        <v>0</v>
      </c>
      <c r="F5" s="12">
        <v>0</v>
      </c>
    </row>
    <row r="6" spans="1:6" x14ac:dyDescent="0.25">
      <c r="A6" s="14" t="s">
        <v>352</v>
      </c>
      <c r="B6" s="14">
        <v>2</v>
      </c>
      <c r="C6" s="14">
        <v>7</v>
      </c>
      <c r="D6" s="14">
        <f t="shared" si="0"/>
        <v>-5</v>
      </c>
      <c r="E6" s="18">
        <v>1</v>
      </c>
      <c r="F6" s="12">
        <v>1</v>
      </c>
    </row>
    <row r="7" spans="1:6" x14ac:dyDescent="0.25">
      <c r="A7" s="14" t="s">
        <v>340</v>
      </c>
      <c r="B7" s="14">
        <v>50</v>
      </c>
      <c r="C7" s="14">
        <v>25</v>
      </c>
      <c r="D7" s="14">
        <f t="shared" si="0"/>
        <v>25</v>
      </c>
      <c r="E7" s="18">
        <v>23</v>
      </c>
      <c r="F7" s="12">
        <v>25</v>
      </c>
    </row>
    <row r="8" spans="1:6" x14ac:dyDescent="0.25">
      <c r="A8" s="14" t="s">
        <v>338</v>
      </c>
      <c r="B8" s="14">
        <v>126</v>
      </c>
      <c r="C8" s="14">
        <v>70</v>
      </c>
      <c r="D8" s="14">
        <f t="shared" si="0"/>
        <v>56</v>
      </c>
      <c r="E8" s="18">
        <v>40</v>
      </c>
      <c r="F8" s="12">
        <v>86</v>
      </c>
    </row>
    <row r="9" spans="1:6" x14ac:dyDescent="0.25">
      <c r="A9" s="14" t="s">
        <v>347</v>
      </c>
      <c r="B9" s="14">
        <v>8</v>
      </c>
      <c r="C9" s="14">
        <v>4</v>
      </c>
      <c r="D9" s="14">
        <f t="shared" si="0"/>
        <v>4</v>
      </c>
      <c r="E9" s="18">
        <v>5</v>
      </c>
      <c r="F9" s="12">
        <v>5</v>
      </c>
    </row>
    <row r="10" spans="1:6" x14ac:dyDescent="0.25">
      <c r="A10" s="15" t="s">
        <v>351</v>
      </c>
      <c r="B10" s="15">
        <v>2</v>
      </c>
      <c r="C10" s="15">
        <v>2</v>
      </c>
      <c r="D10" s="15">
        <f t="shared" si="0"/>
        <v>0</v>
      </c>
      <c r="E10" s="19" t="s">
        <v>357</v>
      </c>
      <c r="F10" s="12">
        <v>15</v>
      </c>
    </row>
    <row r="11" spans="1:6" x14ac:dyDescent="0.25">
      <c r="A11" s="14" t="s">
        <v>346</v>
      </c>
      <c r="B11" s="14">
        <v>11</v>
      </c>
      <c r="C11" s="14"/>
      <c r="D11" s="14">
        <f t="shared" si="0"/>
        <v>11</v>
      </c>
      <c r="E11" s="18">
        <v>10</v>
      </c>
      <c r="F11" s="12">
        <v>11</v>
      </c>
    </row>
    <row r="12" spans="1:6" x14ac:dyDescent="0.25">
      <c r="A12" t="s">
        <v>339</v>
      </c>
      <c r="B12">
        <v>56</v>
      </c>
      <c r="C12">
        <v>7</v>
      </c>
      <c r="D12">
        <f t="shared" si="0"/>
        <v>49</v>
      </c>
      <c r="E12" s="17"/>
      <c r="F12" s="12">
        <v>50</v>
      </c>
    </row>
    <row r="13" spans="1:6" x14ac:dyDescent="0.25">
      <c r="A13" s="15" t="s">
        <v>344</v>
      </c>
      <c r="B13" s="15">
        <v>20</v>
      </c>
      <c r="C13" s="15"/>
      <c r="D13" s="15">
        <f t="shared" si="0"/>
        <v>20</v>
      </c>
      <c r="E13" s="19" t="s">
        <v>357</v>
      </c>
      <c r="F13" s="15">
        <v>20</v>
      </c>
    </row>
    <row r="14" spans="1:6" x14ac:dyDescent="0.25">
      <c r="A14" s="14" t="s">
        <v>345</v>
      </c>
      <c r="B14" s="14">
        <v>20</v>
      </c>
      <c r="C14" s="14">
        <v>15</v>
      </c>
      <c r="D14" s="14">
        <f t="shared" si="0"/>
        <v>5</v>
      </c>
      <c r="E14" s="18">
        <v>12</v>
      </c>
      <c r="F14" s="12">
        <v>12</v>
      </c>
    </row>
    <row r="15" spans="1:6" x14ac:dyDescent="0.25">
      <c r="A15" s="14" t="s">
        <v>350</v>
      </c>
      <c r="B15" s="14">
        <v>6</v>
      </c>
      <c r="C15" s="14">
        <v>3</v>
      </c>
      <c r="D15" s="14">
        <f t="shared" si="0"/>
        <v>3</v>
      </c>
      <c r="E15" s="18">
        <v>5</v>
      </c>
      <c r="F15" s="12">
        <v>5</v>
      </c>
    </row>
    <row r="16" spans="1:6" x14ac:dyDescent="0.25">
      <c r="A16" s="15" t="s">
        <v>343</v>
      </c>
      <c r="B16" s="15">
        <v>31</v>
      </c>
      <c r="C16" s="15">
        <v>7</v>
      </c>
      <c r="D16" s="15">
        <f t="shared" si="0"/>
        <v>24</v>
      </c>
      <c r="E16" s="19" t="s">
        <v>357</v>
      </c>
      <c r="F16" s="15">
        <v>24</v>
      </c>
    </row>
    <row r="17" spans="1:6" x14ac:dyDescent="0.25">
      <c r="A17" s="15" t="s">
        <v>348</v>
      </c>
      <c r="B17" s="15">
        <v>8</v>
      </c>
      <c r="C17" s="15"/>
      <c r="D17" s="15">
        <f t="shared" si="0"/>
        <v>8</v>
      </c>
      <c r="E17" s="19" t="s">
        <v>357</v>
      </c>
      <c r="F17" s="15">
        <v>8</v>
      </c>
    </row>
    <row r="18" spans="1:6" x14ac:dyDescent="0.25">
      <c r="A18" s="14" t="s">
        <v>342</v>
      </c>
      <c r="B18" s="14">
        <v>34</v>
      </c>
      <c r="C18" s="14">
        <v>12</v>
      </c>
      <c r="D18" s="14">
        <f t="shared" si="0"/>
        <v>22</v>
      </c>
      <c r="E18" s="18">
        <v>24</v>
      </c>
      <c r="F18" s="12">
        <v>24</v>
      </c>
    </row>
    <row r="19" spans="1:6" x14ac:dyDescent="0.25">
      <c r="A19" s="14" t="s">
        <v>336</v>
      </c>
      <c r="B19" s="14">
        <v>247</v>
      </c>
      <c r="C19" s="14">
        <v>49</v>
      </c>
      <c r="D19" s="14">
        <f t="shared" si="0"/>
        <v>198</v>
      </c>
      <c r="E19" s="18">
        <v>196</v>
      </c>
      <c r="F19" s="12">
        <v>198</v>
      </c>
    </row>
    <row r="20" spans="1:6" x14ac:dyDescent="0.25">
      <c r="A20" s="14" t="s">
        <v>349</v>
      </c>
      <c r="B20" s="14">
        <v>8</v>
      </c>
      <c r="C20" s="14"/>
      <c r="D20" s="14">
        <f t="shared" si="0"/>
        <v>8</v>
      </c>
      <c r="E20" s="17">
        <v>4</v>
      </c>
      <c r="F20" s="12">
        <v>8</v>
      </c>
    </row>
  </sheetData>
  <autoFilter ref="A1:D20">
    <sortState ref="A2:D20">
      <sortCondition ref="A2:A20"/>
    </sortState>
  </autoFilter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8" sqref="B8"/>
    </sheetView>
  </sheetViews>
  <sheetFormatPr baseColWidth="10" defaultRowHeight="15.75" x14ac:dyDescent="0.25"/>
  <cols>
    <col min="2" max="2" width="38.375" customWidth="1"/>
  </cols>
  <sheetData>
    <row r="1" spans="1:5" x14ac:dyDescent="0.25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</row>
    <row r="2" spans="1:5" x14ac:dyDescent="0.25">
      <c r="A2">
        <v>43</v>
      </c>
      <c r="B2" t="s">
        <v>334</v>
      </c>
      <c r="C2">
        <v>56</v>
      </c>
      <c r="D2">
        <v>5</v>
      </c>
      <c r="E2" t="s">
        <v>380</v>
      </c>
    </row>
    <row r="3" spans="1:5" x14ac:dyDescent="0.25">
      <c r="A3">
        <v>57</v>
      </c>
      <c r="B3" t="s">
        <v>335</v>
      </c>
      <c r="C3">
        <v>14</v>
      </c>
      <c r="D3">
        <v>5</v>
      </c>
      <c r="E3" t="s">
        <v>380</v>
      </c>
    </row>
    <row r="4" spans="1:5" x14ac:dyDescent="0.25">
      <c r="A4">
        <v>68</v>
      </c>
      <c r="B4" t="s">
        <v>358</v>
      </c>
      <c r="C4">
        <v>1</v>
      </c>
      <c r="D4">
        <v>5</v>
      </c>
      <c r="E4" t="s">
        <v>381</v>
      </c>
    </row>
    <row r="5" spans="1:5" x14ac:dyDescent="0.25">
      <c r="A5">
        <v>63</v>
      </c>
      <c r="B5" t="s">
        <v>359</v>
      </c>
      <c r="C5">
        <v>0</v>
      </c>
      <c r="D5">
        <v>5</v>
      </c>
      <c r="E5" t="s">
        <v>382</v>
      </c>
    </row>
    <row r="6" spans="1:5" x14ac:dyDescent="0.25">
      <c r="A6">
        <v>32</v>
      </c>
      <c r="B6" t="s">
        <v>360</v>
      </c>
      <c r="C6">
        <v>1</v>
      </c>
      <c r="D6">
        <v>5</v>
      </c>
      <c r="E6" t="s">
        <v>381</v>
      </c>
    </row>
    <row r="7" spans="1:5" x14ac:dyDescent="0.25">
      <c r="A7">
        <v>27</v>
      </c>
      <c r="B7" t="s">
        <v>361</v>
      </c>
      <c r="C7">
        <v>25</v>
      </c>
      <c r="D7">
        <v>5</v>
      </c>
      <c r="E7" t="s">
        <v>380</v>
      </c>
    </row>
    <row r="8" spans="1:5" x14ac:dyDescent="0.25">
      <c r="A8">
        <v>26</v>
      </c>
      <c r="B8" t="s">
        <v>362</v>
      </c>
      <c r="C8">
        <v>86</v>
      </c>
      <c r="D8">
        <v>5</v>
      </c>
      <c r="E8" t="s">
        <v>380</v>
      </c>
    </row>
    <row r="9" spans="1:5" x14ac:dyDescent="0.25">
      <c r="A9">
        <v>65</v>
      </c>
      <c r="B9" t="s">
        <v>363</v>
      </c>
      <c r="C9">
        <v>5</v>
      </c>
      <c r="D9">
        <v>5</v>
      </c>
      <c r="E9" t="s">
        <v>381</v>
      </c>
    </row>
    <row r="10" spans="1:5" x14ac:dyDescent="0.25">
      <c r="A10">
        <v>86</v>
      </c>
      <c r="B10" t="s">
        <v>364</v>
      </c>
      <c r="C10">
        <v>15</v>
      </c>
      <c r="D10">
        <v>5</v>
      </c>
      <c r="E10" t="s">
        <v>380</v>
      </c>
    </row>
    <row r="11" spans="1:5" x14ac:dyDescent="0.25">
      <c r="A11">
        <v>74</v>
      </c>
      <c r="B11" t="s">
        <v>365</v>
      </c>
      <c r="C11">
        <v>11</v>
      </c>
      <c r="D11">
        <v>5</v>
      </c>
      <c r="E11" t="s">
        <v>380</v>
      </c>
    </row>
    <row r="12" spans="1:5" x14ac:dyDescent="0.25">
      <c r="A12">
        <v>61</v>
      </c>
      <c r="B12" t="s">
        <v>366</v>
      </c>
      <c r="C12">
        <v>50</v>
      </c>
      <c r="D12">
        <v>5</v>
      </c>
      <c r="E12" t="s">
        <v>380</v>
      </c>
    </row>
    <row r="13" spans="1:5" x14ac:dyDescent="0.25">
      <c r="A13">
        <v>55</v>
      </c>
      <c r="B13" t="s">
        <v>367</v>
      </c>
      <c r="C13">
        <v>20</v>
      </c>
      <c r="D13">
        <v>5</v>
      </c>
      <c r="E13" t="s">
        <v>380</v>
      </c>
    </row>
    <row r="14" spans="1:5" x14ac:dyDescent="0.25">
      <c r="A14">
        <v>54</v>
      </c>
      <c r="B14" t="s">
        <v>368</v>
      </c>
      <c r="C14">
        <v>12</v>
      </c>
      <c r="D14">
        <v>5</v>
      </c>
      <c r="E14" t="s">
        <v>380</v>
      </c>
    </row>
    <row r="15" spans="1:5" x14ac:dyDescent="0.25">
      <c r="A15">
        <v>56</v>
      </c>
      <c r="B15" t="s">
        <v>369</v>
      </c>
      <c r="C15">
        <v>5</v>
      </c>
      <c r="D15">
        <v>5</v>
      </c>
      <c r="E15" t="s">
        <v>381</v>
      </c>
    </row>
    <row r="16" spans="1:5" x14ac:dyDescent="0.25">
      <c r="A16">
        <v>44</v>
      </c>
      <c r="B16" t="s">
        <v>370</v>
      </c>
      <c r="C16">
        <v>24</v>
      </c>
      <c r="D16">
        <v>5</v>
      </c>
      <c r="E16" t="s">
        <v>380</v>
      </c>
    </row>
    <row r="17" spans="1:5" x14ac:dyDescent="0.25">
      <c r="A17">
        <v>66</v>
      </c>
      <c r="B17" t="s">
        <v>371</v>
      </c>
      <c r="C17">
        <v>8</v>
      </c>
      <c r="D17">
        <v>5</v>
      </c>
      <c r="E17" t="s">
        <v>380</v>
      </c>
    </row>
    <row r="18" spans="1:5" x14ac:dyDescent="0.25">
      <c r="A18">
        <v>25</v>
      </c>
      <c r="B18" t="s">
        <v>372</v>
      </c>
      <c r="C18">
        <v>24</v>
      </c>
      <c r="D18">
        <v>5</v>
      </c>
      <c r="E18" t="s">
        <v>380</v>
      </c>
    </row>
    <row r="19" spans="1:5" x14ac:dyDescent="0.25">
      <c r="A19">
        <v>24</v>
      </c>
      <c r="B19" t="s">
        <v>373</v>
      </c>
      <c r="C19">
        <v>198</v>
      </c>
      <c r="D19">
        <v>5</v>
      </c>
      <c r="E19" t="s">
        <v>380</v>
      </c>
    </row>
    <row r="20" spans="1:5" x14ac:dyDescent="0.25">
      <c r="A20">
        <v>58</v>
      </c>
      <c r="B20" t="s">
        <v>374</v>
      </c>
      <c r="C20">
        <v>8</v>
      </c>
      <c r="D20">
        <v>5</v>
      </c>
      <c r="E20" t="s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RowHeight="15" x14ac:dyDescent="0.25"/>
  <sheetData>
    <row r="1" spans="1:2" ht="15.75" x14ac:dyDescent="0.25">
      <c r="A1" t="s">
        <v>321</v>
      </c>
      <c r="B1" t="s">
        <v>322</v>
      </c>
    </row>
    <row r="2" spans="1:2" ht="15.75" x14ac:dyDescent="0.25">
      <c r="A2" t="s">
        <v>323</v>
      </c>
      <c r="B2">
        <v>5866.5</v>
      </c>
    </row>
    <row r="3" spans="1:2" ht="15.75" x14ac:dyDescent="0.25">
      <c r="A3" t="s">
        <v>324</v>
      </c>
      <c r="B3">
        <v>1741.01</v>
      </c>
    </row>
    <row r="4" spans="1:2" ht="15.75" x14ac:dyDescent="0.25">
      <c r="A4" t="s">
        <v>325</v>
      </c>
      <c r="B4">
        <v>1044.5999999999999</v>
      </c>
    </row>
    <row r="5" spans="1:2" ht="15.75" x14ac:dyDescent="0.25">
      <c r="A5" t="s">
        <v>326</v>
      </c>
      <c r="B5">
        <v>696.41</v>
      </c>
    </row>
    <row r="6" spans="1:2" ht="15.75" x14ac:dyDescent="0.25">
      <c r="A6" t="s">
        <v>327</v>
      </c>
      <c r="B6">
        <v>287.3</v>
      </c>
    </row>
    <row r="7" spans="1:2" ht="15.75" x14ac:dyDescent="0.25">
      <c r="A7" t="s">
        <v>328</v>
      </c>
      <c r="B7">
        <v>409.11</v>
      </c>
    </row>
    <row r="8" spans="1:2" ht="15.75" x14ac:dyDescent="0.25">
      <c r="A8" t="s">
        <v>329</v>
      </c>
      <c r="B8">
        <v>313</v>
      </c>
    </row>
    <row r="9" spans="1:2" ht="15.75" x14ac:dyDescent="0.25">
      <c r="A9" t="s">
        <v>330</v>
      </c>
      <c r="B9">
        <v>125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Ventas</vt:lpstr>
      <vt:lpstr>CUADRE MANUAL</vt:lpstr>
      <vt:lpstr>INVENTARIO SISTEMA</vt:lpstr>
      <vt:lpstr>Resumen Financiero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Zona5</dc:creator>
  <cp:lastModifiedBy>Zona5</cp:lastModifiedBy>
  <dcterms:created xsi:type="dcterms:W3CDTF">2026-09-11T01:23:07Z</dcterms:created>
  <dcterms:modified xsi:type="dcterms:W3CDTF">2026-09-11T01:23:07Z</dcterms:modified>
</cp:coreProperties>
</file>